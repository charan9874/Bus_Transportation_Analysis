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de72934a09e2a32/Desktop/Data Analytics/Bus Transportation - Excel/"/>
    </mc:Choice>
  </mc:AlternateContent>
  <xr:revisionPtr revIDLastSave="59" documentId="8_{132831F8-F2AD-4975-8D57-37F434D62A99}" xr6:coauthVersionLast="47" xr6:coauthVersionMax="47" xr10:uidLastSave="{4FD35F7D-ACB3-409A-8F3B-E5EB3EE4B18E}"/>
  <bookViews>
    <workbookView xWindow="-108" yWindow="-108" windowWidth="23256" windowHeight="12456" activeTab="1" xr2:uid="{AE042C73-35C5-491D-96C2-DE1E85310F41}"/>
  </bookViews>
  <sheets>
    <sheet name="Sheet" sheetId="1" r:id="rId1"/>
    <sheet name="Dashboard" sheetId="2" r:id="rId2"/>
  </sheets>
  <calcPr calcId="191028"/>
  <pivotCaches>
    <pivotCache cacheId="0" r:id="rId3"/>
    <pivotCache cacheId="1" r:id="rId4"/>
    <pivotCache cacheId="2" r:id="rId5"/>
    <pivotCache cacheId="3" r:id="rId6"/>
    <pivotCache cacheId="4" r:id="rId7"/>
    <pivotCache cacheId="5" r:id="rId8"/>
    <pivotCache cacheId="6" r:id="rId9"/>
    <pivotCache cacheId="7" r:id="rId10"/>
    <pivotCache cacheId="8" r:id="rId11"/>
    <pivotCache cacheId="9" r:id="rId12"/>
    <pivotCache cacheId="10" r:id="rId13"/>
    <pivotCache cacheId="11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alculations_75248249-1d77-4d88-8ad6-18845d945959" name="Calculations" connection="Query - Calculations"/>
          <x15:modelTable id="Facttable_ridership_f7b305c3-c495-4ce7-94ca-81e4de87f5d7" name="Facttable_ridership" connection="Query - Facttable_ridership(1)"/>
          <x15:modelTable id="Dim_buses_9630bc04-05bb-45f2-bc4b-0aa6b9b3bde2" name="Dim_buses" connection="Query - Dim_buses"/>
          <x15:modelTable id="Dim_demographics_3346199f-065b-43b0-a34c-42236e4768ed" name="Dim_demographics" connection="Query - Dim_demographics"/>
          <x15:modelTable id="Dim_routes_19e39f31-34ee-4202-8f94-28cc269d3dea" name="Dim_routes" connection="Query - Dim_routes"/>
          <x15:modelTable id="Dim_Datetable_01e107b0-ca0b-4b76-b4b1-2b866df4ac54" name="Dim_Datetable" connection="Query - Dim_Datetable"/>
        </x15:modelTables>
        <x15:modelRelationships>
          <x15:modelRelationship fromTable="Facttable_ridership" fromColumn="BusID" toTable="Dim_buses" toColumn="BusID"/>
          <x15:modelRelationship fromTable="Facttable_ridership" fromColumn="RiderID" toTable="Dim_demographics" toColumn="RiderID"/>
          <x15:modelRelationship fromTable="Facttable_ridership" fromColumn="Date" toTable="Dim_Datetable" toColumn="Date"/>
          <x15:modelRelationship fromTable="Dim_buses" fromColumn="RouteID" toTable="Dim_routes" toColumn="Route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Facttable_ridership" columnName="Time" columnId="Time">
                <x16:calculatedTimeColumn columnName="Time (Hour)" columnId="Time (Hour)" contentType="hours" isSelected="1"/>
                <x16:calculatedTimeColumn columnName="Time (Minute)" columnId="Time (Minute)" contentType="minute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6" i="1" l="1"/>
  <c r="AT5" i="1"/>
  <c r="AN7" i="1"/>
  <c r="AN8" i="1"/>
  <c r="AN6" i="1"/>
  <c r="AN13" i="1"/>
  <c r="AN14" i="1"/>
  <c r="AN12" i="1"/>
  <c r="AM13" i="1"/>
  <c r="AM14" i="1"/>
  <c r="AM12" i="1"/>
  <c r="AL12" i="1"/>
  <c r="AL13" i="1"/>
  <c r="AL14" i="1"/>
  <c r="AL11" i="1"/>
  <c r="V5" i="1"/>
  <c r="V6" i="1"/>
  <c r="V7" i="1"/>
  <c r="V8" i="1"/>
  <c r="V9" i="1"/>
  <c r="V10" i="1"/>
  <c r="V11" i="1"/>
  <c r="V12" i="1"/>
  <c r="U6" i="1"/>
  <c r="U7" i="1"/>
  <c r="U8" i="1"/>
  <c r="U9" i="1"/>
  <c r="U10" i="1"/>
  <c r="U11" i="1"/>
  <c r="U12" i="1"/>
  <c r="U5" i="1"/>
  <c r="L18" i="1"/>
  <c r="M18" i="1" s="1"/>
  <c r="W6" i="1" l="1"/>
  <c r="W9" i="1"/>
  <c r="X9" i="1" s="1"/>
  <c r="W12" i="1"/>
  <c r="X12" i="1" s="1"/>
  <c r="W8" i="1"/>
  <c r="X8" i="1" s="1"/>
  <c r="W11" i="1"/>
  <c r="X11" i="1" s="1"/>
  <c r="W7" i="1"/>
  <c r="X7" i="1" s="1"/>
  <c r="W10" i="1"/>
  <c r="X10" i="1" s="1"/>
  <c r="M21" i="1"/>
  <c r="X6" i="1" l="1"/>
  <c r="U19" i="1" s="1"/>
  <c r="U1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5B7754-D753-45B4-AB14-932F4933646B}" name="Query - Calculations" description="Connection to the 'Calculations' query in the workbook." type="100" refreshedVersion="7" minRefreshableVersion="5">
    <extLst>
      <ext xmlns:x15="http://schemas.microsoft.com/office/spreadsheetml/2010/11/main" uri="{DE250136-89BD-433C-8126-D09CA5730AF9}">
        <x15:connection id="da5eaf3b-f833-4789-b1c5-2f541f88c0f0">
          <x15:oledbPr connection="Provider=Microsoft.Mashup.OleDb.1;Data Source=$Workbook$;Location=Calculations;Extended Properties=&quot;&quot;">
            <x15:dbTables>
              <x15:dbTable name="Calculations"/>
            </x15:dbTables>
          </x15:oledbPr>
        </x15:connection>
      </ext>
    </extLst>
  </connection>
  <connection id="2" xr16:uid="{4A4B4D3D-09EE-4805-86A9-C17AB5308FAC}" name="Query - Dim_buses" description="Connection to the 'Dim_buses' query in the workbook." type="100" refreshedVersion="7" minRefreshableVersion="5">
    <extLst>
      <ext xmlns:x15="http://schemas.microsoft.com/office/spreadsheetml/2010/11/main" uri="{DE250136-89BD-433C-8126-D09CA5730AF9}">
        <x15:connection id="868454ab-3f99-4fd7-b8ea-98f293122560">
          <x15:oledbPr connection="Provider=Microsoft.Mashup.OleDb.1;Data Source=$Workbook$;Location=Dim_buses;Extended Properties=&quot;&quot;">
            <x15:dbTables>
              <x15:dbTable name="Dim_buses"/>
            </x15:dbTables>
          </x15:oledbPr>
        </x15:connection>
      </ext>
    </extLst>
  </connection>
  <connection id="3" xr16:uid="{8E7A82A3-3C9C-4593-B55F-2538DF4F43AE}" name="Query - Dim_Datetable" description="Connection to the 'Dim_Datetable' query in the workbook." type="100" refreshedVersion="7" minRefreshableVersion="5">
    <extLst>
      <ext xmlns:x15="http://schemas.microsoft.com/office/spreadsheetml/2010/11/main" uri="{DE250136-89BD-433C-8126-D09CA5730AF9}">
        <x15:connection id="a5b5f5de-ef0d-4e80-8298-da7692d5fdeb">
          <x15:oledbPr connection="Provider=Microsoft.Mashup.OleDb.1;Data Source=$Workbook$;Location=Dim_Datetable;Extended Properties=&quot;&quot;">
            <x15:dbTables>
              <x15:dbTable name="Dim_Datetable"/>
            </x15:dbTables>
          </x15:oledbPr>
        </x15:connection>
      </ext>
    </extLst>
  </connection>
  <connection id="4" xr16:uid="{055D1B81-5834-49C1-874F-EFC8E710F21C}" name="Query - Dim_demographics" description="Connection to the 'Dim_demographics' query in the workbook." type="100" refreshedVersion="7" minRefreshableVersion="5">
    <extLst>
      <ext xmlns:x15="http://schemas.microsoft.com/office/spreadsheetml/2010/11/main" uri="{DE250136-89BD-433C-8126-D09CA5730AF9}">
        <x15:connection id="06bf3b1b-81f7-4869-a941-23610fcf3afa">
          <x15:oledbPr connection="Provider=Microsoft.Mashup.OleDb.1;Data Source=$Workbook$;Location=Dim_demographics;Extended Properties=&quot;&quot;">
            <x15:dbTables>
              <x15:dbTable name="Dim_demographics"/>
            </x15:dbTables>
          </x15:oledbPr>
        </x15:connection>
      </ext>
    </extLst>
  </connection>
  <connection id="5" xr16:uid="{B5E635FD-5311-41F1-B0D7-6AFEC08F67D9}" name="Query - Dim_routes" description="Connection to the 'Dim_routes' query in the workbook." type="100" refreshedVersion="7" minRefreshableVersion="5">
    <extLst>
      <ext xmlns:x15="http://schemas.microsoft.com/office/spreadsheetml/2010/11/main" uri="{DE250136-89BD-433C-8126-D09CA5730AF9}">
        <x15:connection id="9fa053d2-80ed-48fc-83b1-64f66e5ccf40">
          <x15:oledbPr connection="Provider=Microsoft.Mashup.OleDb.1;Data Source=$Workbook$;Location=Dim_routes;Extended Properties=&quot;&quot;">
            <x15:dbTables>
              <x15:dbTable name="Dim_routes"/>
            </x15:dbTables>
          </x15:oledbPr>
        </x15:connection>
      </ext>
    </extLst>
  </connection>
  <connection id="6" xr16:uid="{13637303-DA5A-4D22-A5BA-C55F0726888A}" name="Query - Facttable_ridership(1)" description="Connection to the 'Facttable_ridership' query in the workbook." type="100" refreshedVersion="7" minRefreshableVersion="5">
    <extLst>
      <ext xmlns:x15="http://schemas.microsoft.com/office/spreadsheetml/2010/11/main" uri="{DE250136-89BD-433C-8126-D09CA5730AF9}">
        <x15:connection id="abd138ff-11bc-4add-91b8-09fbba4508cd"/>
      </ext>
    </extLst>
  </connection>
  <connection id="7" xr16:uid="{0B28BD11-AF55-4FF3-B50B-43D9CBC195F9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<sst xmlns="http://schemas.openxmlformats.org/spreadsheetml/2006/main" count="61" uniqueCount="42">
  <si>
    <t>TOtal Riders(passenger)</t>
  </si>
  <si>
    <t>Avg Rider per Trip</t>
  </si>
  <si>
    <t>Row Labels</t>
  </si>
  <si>
    <t>12:00AM - 3:00AM</t>
  </si>
  <si>
    <t>Average</t>
  </si>
  <si>
    <t>Above Average</t>
  </si>
  <si>
    <t>Total Buses</t>
  </si>
  <si>
    <t>AM</t>
  </si>
  <si>
    <t>12:00PM - 3:00PM</t>
  </si>
  <si>
    <t>Sun</t>
  </si>
  <si>
    <t>Jan</t>
  </si>
  <si>
    <t>Over-utilised</t>
  </si>
  <si>
    <t>PM</t>
  </si>
  <si>
    <t>3:00AM - 6:00AM</t>
  </si>
  <si>
    <t>Mon</t>
  </si>
  <si>
    <t>Dec</t>
  </si>
  <si>
    <t>Under-utilised</t>
  </si>
  <si>
    <t>6:00AM - 9:00AM</t>
  </si>
  <si>
    <t>Tue</t>
  </si>
  <si>
    <t>Well-utilised</t>
  </si>
  <si>
    <t>9:00AM - 12:00PM</t>
  </si>
  <si>
    <t>Wed</t>
  </si>
  <si>
    <t>Thu</t>
  </si>
  <si>
    <t>Fri</t>
  </si>
  <si>
    <t>Pct</t>
  </si>
  <si>
    <t>Pct Left</t>
  </si>
  <si>
    <t>Peak Hour of Operation</t>
  </si>
  <si>
    <t>TOtal Riders(passenger)2</t>
  </si>
  <si>
    <t>Sat</t>
  </si>
  <si>
    <r>
      <rPr>
        <b/>
        <sz val="11"/>
        <color theme="1"/>
        <rFont val="Calibri"/>
        <family val="2"/>
        <scheme val="minor"/>
      </rPr>
      <t>Caption</t>
    </r>
    <r>
      <rPr>
        <sz val="11"/>
        <color theme="1"/>
        <rFont val="Calibri"/>
        <family val="2"/>
        <scheme val="minor"/>
      </rPr>
      <t>:</t>
    </r>
  </si>
  <si>
    <t>Off-Peak Hour of Operation</t>
  </si>
  <si>
    <t>Busiest Route</t>
  </si>
  <si>
    <t>YoY Pct change</t>
  </si>
  <si>
    <t>Indicator</t>
  </si>
  <si>
    <t>Abobe Average Percentage</t>
  </si>
  <si>
    <t>East-West Express</t>
  </si>
  <si>
    <t>Caption:</t>
  </si>
  <si>
    <t>Least Bust Route</t>
  </si>
  <si>
    <t>▲</t>
  </si>
  <si>
    <t>▼</t>
  </si>
  <si>
    <t>South Line</t>
  </si>
  <si>
    <t>Total Riders(passenger)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</si>
</sst>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19" fontId="0" fillId="0" borderId="0" xfId="0" applyNumberFormat="1" applyAlignment="1">
      <alignment horizontal="left"/>
    </xf>
    <xf numFmtId="0" fontId="1" fillId="4" borderId="0" xfId="0" applyFont="1" applyFill="1"/>
    <xf numFmtId="10" fontId="0" fillId="0" borderId="0" xfId="0" applyNumberFormat="1"/>
    <xf numFmtId="0" fontId="0" fillId="5" borderId="0" xfId="0" applyFill="1"/>
    <xf numFmtId="0" fontId="2" fillId="0" borderId="0" xfId="0" applyFont="1"/>
    <xf numFmtId="0" fontId="0" fillId="6" borderId="0" xfId="0" applyFill="1"/>
    <xf numFmtId="0" fontId="1" fillId="7" borderId="0" xfId="0" applyFont="1" applyFill="1"/>
    <xf numFmtId="0" fontId="0" fillId="8" borderId="0" xfId="0" applyFill="1"/>
    <xf numFmtId="10" fontId="0" fillId="9" borderId="0" xfId="0" applyNumberFormat="1" applyFill="1"/>
  </cellXfs>
  <cellStyles count="1">
    <cellStyle name="Normal" xfId="0" builtinId="0"/>
  </cellStyles>
  <dxfs count="5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1F56C5"/>
      <color rgb="FF68B8B0"/>
      <color rgb="FF6489DA"/>
      <color rgb="FF46768C"/>
      <color rgb="FF595959"/>
      <color rgb="FF8C8C8C"/>
      <color rgb="FF0D0D0D"/>
      <color rgb="FFC4C4C4"/>
      <color rgb="FFF5F5F5"/>
      <color rgb="FF2A2A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55" Type="http://schemas.openxmlformats.org/officeDocument/2006/relationships/customXml" Target="../customXml/item34.xml"/><Relationship Id="rId63" Type="http://schemas.openxmlformats.org/officeDocument/2006/relationships/customXml" Target="../customXml/item42.xml"/><Relationship Id="rId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9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8" Type="http://schemas.openxmlformats.org/officeDocument/2006/relationships/customXml" Target="../customXml/item37.xml"/><Relationship Id="rId5" Type="http://schemas.openxmlformats.org/officeDocument/2006/relationships/pivotCacheDefinition" Target="pivotCache/pivotCacheDefinition3.xml"/><Relationship Id="rId61" Type="http://schemas.openxmlformats.org/officeDocument/2006/relationships/customXml" Target="../customXml/item40.xml"/><Relationship Id="rId19" Type="http://schemas.openxmlformats.org/officeDocument/2006/relationships/powerPivotData" Target="model/item.data"/><Relationship Id="rId14" Type="http://schemas.openxmlformats.org/officeDocument/2006/relationships/pivotCacheDefinition" Target="pivotCache/pivotCacheDefinition1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56" Type="http://schemas.openxmlformats.org/officeDocument/2006/relationships/customXml" Target="../customXml/item35.xml"/><Relationship Id="rId64" Type="http://schemas.openxmlformats.org/officeDocument/2006/relationships/customXml" Target="../customXml/item43.xml"/><Relationship Id="rId8" Type="http://schemas.openxmlformats.org/officeDocument/2006/relationships/pivotCacheDefinition" Target="pivotCache/pivotCacheDefinition6.xml"/><Relationship Id="rId51" Type="http://schemas.openxmlformats.org/officeDocument/2006/relationships/customXml" Target="../customXml/item30.xml"/><Relationship Id="rId3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10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59" Type="http://schemas.openxmlformats.org/officeDocument/2006/relationships/customXml" Target="../customXml/item38.xml"/><Relationship Id="rId20" Type="http://schemas.microsoft.com/office/2017/10/relationships/person" Target="persons/person.xml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62" Type="http://schemas.openxmlformats.org/officeDocument/2006/relationships/customXml" Target="../customXml/item4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4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57" Type="http://schemas.openxmlformats.org/officeDocument/2006/relationships/customXml" Target="../customXml/item36.xml"/><Relationship Id="rId10" Type="http://schemas.openxmlformats.org/officeDocument/2006/relationships/pivotCacheDefinition" Target="pivotCache/pivotCacheDefinition8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60" Type="http://schemas.openxmlformats.org/officeDocument/2006/relationships/customXml" Target="../customXml/item39.xml"/><Relationship Id="rId65" Type="http://schemas.openxmlformats.org/officeDocument/2006/relationships/customXml" Target="../customXml/item44.xml"/><Relationship Id="rId4" Type="http://schemas.openxmlformats.org/officeDocument/2006/relationships/pivotCacheDefinition" Target="pivotCache/pivotCacheDefinition2.xml"/><Relationship Id="rId9" Type="http://schemas.openxmlformats.org/officeDocument/2006/relationships/pivotCacheDefinition" Target="pivotCache/pivotCacheDefinition7.xml"/><Relationship Id="rId13" Type="http://schemas.openxmlformats.org/officeDocument/2006/relationships/pivotCacheDefinition" Target="pivotCache/pivotCacheDefinition11.xml"/><Relationship Id="rId18" Type="http://schemas.openxmlformats.org/officeDocument/2006/relationships/sharedStrings" Target="sharedStrings.xml"/><Relationship Id="rId39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[Dashboard.xlsm]Sheet!PivotTable6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68B8B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266988626552205"/>
          <c:y val="0.26304972578816754"/>
          <c:w val="0.5335104244044967"/>
          <c:h val="0.6589361702127659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8B8B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Sheet!$G$5:$G$9</c:f>
              <c:strCache>
                <c:ptCount val="5"/>
                <c:pt idx="0">
                  <c:v>12:00AM - 3:00AM</c:v>
                </c:pt>
                <c:pt idx="1">
                  <c:v>12:00PM - 3:00PM</c:v>
                </c:pt>
                <c:pt idx="2">
                  <c:v>3:00AM - 6:00AM</c:v>
                </c:pt>
                <c:pt idx="3">
                  <c:v>6:00AM - 9:00AM</c:v>
                </c:pt>
                <c:pt idx="4">
                  <c:v>9:00AM - 12:00PM</c:v>
                </c:pt>
              </c:strCache>
            </c:strRef>
          </c:cat>
          <c:val>
            <c:numRef>
              <c:f>Sheet!$H$5:$H$9</c:f>
              <c:numCache>
                <c:formatCode>#,##0</c:formatCode>
                <c:ptCount val="5"/>
                <c:pt idx="0">
                  <c:v>869</c:v>
                </c:pt>
                <c:pt idx="1">
                  <c:v>388</c:v>
                </c:pt>
                <c:pt idx="2">
                  <c:v>884</c:v>
                </c:pt>
                <c:pt idx="3">
                  <c:v>1941</c:v>
                </c:pt>
                <c:pt idx="4">
                  <c:v>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E-432F-A177-6388DCEB2F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912616608"/>
        <c:axId val="912627424"/>
      </c:barChart>
      <c:catAx>
        <c:axId val="912616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627424"/>
        <c:crosses val="autoZero"/>
        <c:auto val="1"/>
        <c:lblAlgn val="ctr"/>
        <c:lblOffset val="100"/>
        <c:noMultiLvlLbl val="0"/>
      </c:catAx>
      <c:valAx>
        <c:axId val="912627424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91261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>
              <a:lumMod val="8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[Dashboard.xlsm]Sheet!PivotTable7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68B8B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906638970742159E-2"/>
          <c:y val="0.4112735678131958"/>
          <c:w val="0.92910358597813314"/>
          <c:h val="0.37629738701935217"/>
        </c:manualLayout>
      </c:layout>
      <c:lineChart>
        <c:grouping val="standard"/>
        <c:varyColors val="0"/>
        <c:ser>
          <c:idx val="0"/>
          <c:order val="0"/>
          <c:tx>
            <c:strRef>
              <c:f>Sheet!$M$5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68B8B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Sheet!$L$6:$L$7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Sheet!$M$6:$M$7</c:f>
              <c:numCache>
                <c:formatCode>#,##0</c:formatCode>
                <c:ptCount val="2"/>
                <c:pt idx="0">
                  <c:v>5654</c:v>
                </c:pt>
                <c:pt idx="1">
                  <c:v>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95-45A9-BF20-DD545CCB8B4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43975248"/>
        <c:axId val="1043974000"/>
      </c:lineChart>
      <c:catAx>
        <c:axId val="104397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974000"/>
        <c:crosses val="autoZero"/>
        <c:auto val="1"/>
        <c:lblAlgn val="ctr"/>
        <c:lblOffset val="100"/>
        <c:noMultiLvlLbl val="0"/>
      </c:catAx>
      <c:valAx>
        <c:axId val="104397400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04397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724074384576694E-2"/>
          <c:y val="0.25668463608833275"/>
          <c:w val="0.89255185123084657"/>
          <c:h val="0.577908727614483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Sheet!$U$6:$U$12</c:f>
              <c:strCache>
                <c:ptCount val="7"/>
                <c:pt idx="0">
                  <c:v>Sun</c:v>
                </c:pt>
                <c:pt idx="1">
                  <c:v>Mon</c:v>
                </c:pt>
                <c:pt idx="2">
                  <c:v>Tue</c:v>
                </c:pt>
                <c:pt idx="3">
                  <c:v>Wed</c:v>
                </c:pt>
                <c:pt idx="4">
                  <c:v>Thu</c:v>
                </c:pt>
                <c:pt idx="5">
                  <c:v>Fri</c:v>
                </c:pt>
                <c:pt idx="6">
                  <c:v>Sat</c:v>
                </c:pt>
              </c:strCache>
            </c:strRef>
          </c:cat>
          <c:val>
            <c:numRef>
              <c:f>Sheet!$V$6:$V$12</c:f>
              <c:numCache>
                <c:formatCode>General</c:formatCode>
                <c:ptCount val="7"/>
                <c:pt idx="0">
                  <c:v>1185</c:v>
                </c:pt>
                <c:pt idx="1">
                  <c:v>1085</c:v>
                </c:pt>
                <c:pt idx="2">
                  <c:v>983</c:v>
                </c:pt>
                <c:pt idx="3">
                  <c:v>887</c:v>
                </c:pt>
                <c:pt idx="4">
                  <c:v>889</c:v>
                </c:pt>
                <c:pt idx="5">
                  <c:v>762</c:v>
                </c:pt>
                <c:pt idx="6">
                  <c:v>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DA-4426-B47F-2677384201C7}"/>
            </c:ext>
          </c:extLst>
        </c:ser>
        <c:ser>
          <c:idx val="2"/>
          <c:order val="2"/>
          <c:tx>
            <c:strRef>
              <c:f>Sheet!$X$5</c:f>
              <c:strCache>
                <c:ptCount val="1"/>
                <c:pt idx="0">
                  <c:v>Above Average</c:v>
                </c:pt>
              </c:strCache>
            </c:strRef>
          </c:tx>
          <c:spPr>
            <a:solidFill>
              <a:srgbClr val="68B8B0"/>
            </a:solidFill>
            <a:ln>
              <a:noFill/>
            </a:ln>
            <a:effectLst/>
          </c:spPr>
          <c:invertIfNegative val="0"/>
          <c:val>
            <c:numRef>
              <c:f>Sheet!$X$6:$X$12</c:f>
              <c:numCache>
                <c:formatCode>General</c:formatCode>
                <c:ptCount val="7"/>
                <c:pt idx="0">
                  <c:v>1185</c:v>
                </c:pt>
                <c:pt idx="1">
                  <c:v>1085</c:v>
                </c:pt>
                <c:pt idx="2">
                  <c:v>983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DA-4426-B47F-267738420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042910960"/>
        <c:axId val="1042918032"/>
      </c:barChart>
      <c:lineChart>
        <c:grouping val="standard"/>
        <c:varyColors val="0"/>
        <c:ser>
          <c:idx val="1"/>
          <c:order val="1"/>
          <c:tx>
            <c:strRef>
              <c:f>Sheet!$W$5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bg1">
                  <a:lumMod val="9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Sheet!$W$6:$W$12</c:f>
              <c:numCache>
                <c:formatCode>General</c:formatCode>
                <c:ptCount val="7"/>
                <c:pt idx="0">
                  <c:v>941</c:v>
                </c:pt>
                <c:pt idx="1">
                  <c:v>941</c:v>
                </c:pt>
                <c:pt idx="2">
                  <c:v>941</c:v>
                </c:pt>
                <c:pt idx="3">
                  <c:v>941</c:v>
                </c:pt>
                <c:pt idx="4">
                  <c:v>941</c:v>
                </c:pt>
                <c:pt idx="5">
                  <c:v>941</c:v>
                </c:pt>
                <c:pt idx="6">
                  <c:v>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DA-4426-B47F-267738420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2910960"/>
        <c:axId val="1042918032"/>
      </c:lineChart>
      <c:catAx>
        <c:axId val="104291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918032"/>
        <c:crosses val="autoZero"/>
        <c:auto val="1"/>
        <c:lblAlgn val="ctr"/>
        <c:lblOffset val="100"/>
        <c:noMultiLvlLbl val="0"/>
      </c:catAx>
      <c:valAx>
        <c:axId val="1042918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4291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[Dashboard.xlsm]Sheet!PivotTable10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68B8B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Sheet!$AI$5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68B8B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Sheet!$AH$6:$AH$7</c:f>
              <c:strCache>
                <c:ptCount val="2"/>
                <c:pt idx="0">
                  <c:v>Jan</c:v>
                </c:pt>
                <c:pt idx="1">
                  <c:v>Dec</c:v>
                </c:pt>
              </c:strCache>
            </c:strRef>
          </c:cat>
          <c:val>
            <c:numRef>
              <c:f>Sheet!$AI$6:$AI$7</c:f>
              <c:numCache>
                <c:formatCode>#,##0</c:formatCode>
                <c:ptCount val="2"/>
                <c:pt idx="0">
                  <c:v>933</c:v>
                </c:pt>
                <c:pt idx="1">
                  <c:v>5654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F-44A0-80A6-28837BA87C8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18256256"/>
        <c:axId val="918253760"/>
      </c:lineChart>
      <c:catAx>
        <c:axId val="91825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253760"/>
        <c:crosses val="autoZero"/>
        <c:auto val="1"/>
        <c:lblAlgn val="ctr"/>
        <c:lblOffset val="100"/>
        <c:noMultiLvlLbl val="0"/>
      </c:catAx>
      <c:valAx>
        <c:axId val="918253760"/>
        <c:scaling>
          <c:orientation val="minMax"/>
        </c:scaling>
        <c:delete val="0"/>
        <c:axPos val="l"/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25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849902534113059"/>
          <c:y val="0.11195928753180662"/>
          <c:w val="0.59454191033138404"/>
          <c:h val="0.77608142493638677"/>
        </c:manualLayout>
      </c:layout>
      <c:doughnutChart>
        <c:varyColors val="1"/>
        <c:ser>
          <c:idx val="0"/>
          <c:order val="0"/>
          <c:tx>
            <c:strRef>
              <c:f>Sheet!$AL$12</c:f>
              <c:strCache>
                <c:ptCount val="1"/>
                <c:pt idx="0">
                  <c:v>Over-utilised</c:v>
                </c:pt>
              </c:strCache>
            </c:strRef>
          </c:tx>
          <c:spPr>
            <a:solidFill>
              <a:srgbClr val="68B8B0"/>
            </a:solidFill>
            <a:ln>
              <a:noFill/>
            </a:ln>
          </c:spPr>
          <c:dPt>
            <c:idx val="0"/>
            <c:bubble3D val="0"/>
            <c:spPr>
              <a:solidFill>
                <a:srgbClr val="68B8B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C-4BEA-9115-913C90EFA9D0}"/>
              </c:ext>
            </c:extLst>
          </c:dPt>
          <c:dPt>
            <c:idx val="1"/>
            <c:bubble3D val="0"/>
            <c:spPr>
              <a:solidFill>
                <a:srgbClr val="8C8C8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C-4BEA-9115-913C90EFA9D0}"/>
              </c:ext>
            </c:extLst>
          </c:dPt>
          <c:val>
            <c:numRef>
              <c:f>Sheet!$AM$12:$AN$12</c:f>
              <c:numCache>
                <c:formatCode>0.00%</c:formatCode>
                <c:ptCount val="2"/>
                <c:pt idx="0">
                  <c:v>0.32926829268292684</c:v>
                </c:pt>
                <c:pt idx="1">
                  <c:v>0.6707317073170731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0C-4BEA-9115-913C90EFA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849902534113059"/>
          <c:y val="0.11195928753180662"/>
          <c:w val="0.59454191033138404"/>
          <c:h val="0.77608142493638677"/>
        </c:manualLayout>
      </c:layout>
      <c:doughnutChart>
        <c:varyColors val="1"/>
        <c:ser>
          <c:idx val="0"/>
          <c:order val="0"/>
          <c:tx>
            <c:strRef>
              <c:f>Sheet!$AL$14</c:f>
              <c:strCache>
                <c:ptCount val="1"/>
                <c:pt idx="0">
                  <c:v>Well-utilised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dPt>
            <c:idx val="0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C-4BEA-9115-913C90EFA9D0}"/>
              </c:ext>
            </c:extLst>
          </c:dPt>
          <c:dPt>
            <c:idx val="1"/>
            <c:bubble3D val="0"/>
            <c:spPr>
              <a:solidFill>
                <a:srgbClr val="59595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C-4BEA-9115-913C90EFA9D0}"/>
              </c:ext>
            </c:extLst>
          </c:dPt>
          <c:val>
            <c:numRef>
              <c:f>Sheet!$AM$14:$AN$14</c:f>
              <c:numCache>
                <c:formatCode>0.00%</c:formatCode>
                <c:ptCount val="2"/>
                <c:pt idx="0">
                  <c:v>0.43902439024390244</c:v>
                </c:pt>
                <c:pt idx="1">
                  <c:v>0.56097560975609762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0C-4BEA-9115-913C90EFA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849902534113059"/>
          <c:y val="0.11195928753180662"/>
          <c:w val="0.59454191033138404"/>
          <c:h val="0.77608142493638677"/>
        </c:manualLayout>
      </c:layout>
      <c:doughnutChart>
        <c:varyColors val="1"/>
        <c:ser>
          <c:idx val="0"/>
          <c:order val="0"/>
          <c:tx>
            <c:strRef>
              <c:f>Sheet!$AL$13</c:f>
              <c:strCache>
                <c:ptCount val="1"/>
                <c:pt idx="0">
                  <c:v>Under-utilised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C-4BEA-9115-913C90EFA9D0}"/>
              </c:ext>
            </c:extLst>
          </c:dPt>
          <c:dPt>
            <c:idx val="1"/>
            <c:bubble3D val="0"/>
            <c:spPr>
              <a:solidFill>
                <a:srgbClr val="59595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C-4BEA-9115-913C90EFA9D0}"/>
              </c:ext>
            </c:extLst>
          </c:dPt>
          <c:val>
            <c:numRef>
              <c:f>Sheet!$AM$13:$AN$13</c:f>
              <c:numCache>
                <c:formatCode>0.00%</c:formatCode>
                <c:ptCount val="2"/>
                <c:pt idx="0">
                  <c:v>0.23170731707317074</c:v>
                </c:pt>
                <c:pt idx="1">
                  <c:v>0.76829268292682928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0C-4BEA-9115-913C90EFA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svg"/><Relationship Id="rId11" Type="http://schemas.openxmlformats.org/officeDocument/2006/relationships/chart" Target="../charts/chart7.xml"/><Relationship Id="rId5" Type="http://schemas.openxmlformats.org/officeDocument/2006/relationships/image" Target="../media/image3.png"/><Relationship Id="rId10" Type="http://schemas.openxmlformats.org/officeDocument/2006/relationships/chart" Target="../charts/chart6.xml"/><Relationship Id="rId4" Type="http://schemas.openxmlformats.org/officeDocument/2006/relationships/chart" Target="../charts/chart2.xml"/><Relationship Id="rId9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472440</xdr:colOff>
      <xdr:row>0</xdr:row>
      <xdr:rowOff>0</xdr:rowOff>
    </xdr:from>
    <xdr:to>
      <xdr:col>23</xdr:col>
      <xdr:colOff>142874</xdr:colOff>
      <xdr:row>32</xdr:row>
      <xdr:rowOff>114300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59EF2AF-21C2-4B6F-9303-32B70BC19B85}"/>
            </a:ext>
          </a:extLst>
        </xdr:cNvPr>
        <xdr:cNvGrpSpPr/>
      </xdr:nvGrpSpPr>
      <xdr:grpSpPr>
        <a:xfrm>
          <a:off x="1097280" y="0"/>
          <a:ext cx="13416914" cy="5966460"/>
          <a:chOff x="3762375" y="0"/>
          <a:chExt cx="10401300" cy="6210300"/>
        </a:xfrm>
      </xdr:grpSpPr>
      <xdr:sp macro="" textlink="">
        <xdr:nvSpPr>
          <xdr:cNvPr id="6" name="Arrow: Pentagon 5">
            <a:extLst>
              <a:ext uri="{FF2B5EF4-FFF2-40B4-BE49-F238E27FC236}">
                <a16:creationId xmlns:a16="http://schemas.microsoft.com/office/drawing/2014/main" id="{01D370B1-FC43-43BC-99F6-42742B46FDDC}"/>
              </a:ext>
            </a:extLst>
          </xdr:cNvPr>
          <xdr:cNvSpPr/>
        </xdr:nvSpPr>
        <xdr:spPr>
          <a:xfrm flipH="1">
            <a:off x="4235749" y="0"/>
            <a:ext cx="7099001" cy="6191250"/>
          </a:xfrm>
          <a:prstGeom prst="homePlate">
            <a:avLst>
              <a:gd name="adj" fmla="val 34923"/>
            </a:avLst>
          </a:prstGeom>
          <a:gradFill>
            <a:gsLst>
              <a:gs pos="0">
                <a:srgbClr val="2A2A2A"/>
              </a:gs>
              <a:gs pos="31000">
                <a:srgbClr val="595959"/>
              </a:gs>
              <a:gs pos="97000">
                <a:srgbClr val="0D0D0D"/>
              </a:gs>
              <a:gs pos="70000">
                <a:srgbClr val="8C8C8C"/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Arrow: Pentagon 4">
            <a:extLst>
              <a:ext uri="{FF2B5EF4-FFF2-40B4-BE49-F238E27FC236}">
                <a16:creationId xmlns:a16="http://schemas.microsoft.com/office/drawing/2014/main" id="{4C213701-F9DE-4962-AD6B-A8D29E01511D}"/>
              </a:ext>
            </a:extLst>
          </xdr:cNvPr>
          <xdr:cNvSpPr/>
        </xdr:nvSpPr>
        <xdr:spPr>
          <a:xfrm flipH="1">
            <a:off x="3762375" y="19050"/>
            <a:ext cx="8143875" cy="6191250"/>
          </a:xfrm>
          <a:prstGeom prst="homePlate">
            <a:avLst>
              <a:gd name="adj" fmla="val 34923"/>
            </a:avLst>
          </a:prstGeom>
          <a:gradFill>
            <a:gsLst>
              <a:gs pos="0">
                <a:srgbClr val="2A2A2A"/>
              </a:gs>
              <a:gs pos="31000">
                <a:srgbClr val="595959"/>
              </a:gs>
              <a:gs pos="94000">
                <a:srgbClr val="0D0D0D"/>
              </a:gs>
              <a:gs pos="75000">
                <a:srgbClr val="8C8C8C"/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Arrow: Pentagon 3">
            <a:extLst>
              <a:ext uri="{FF2B5EF4-FFF2-40B4-BE49-F238E27FC236}">
                <a16:creationId xmlns:a16="http://schemas.microsoft.com/office/drawing/2014/main" id="{05FCA99A-F88D-460F-B0E0-BE441A8C96C1}"/>
              </a:ext>
            </a:extLst>
          </xdr:cNvPr>
          <xdr:cNvSpPr/>
        </xdr:nvSpPr>
        <xdr:spPr>
          <a:xfrm flipH="1">
            <a:off x="4410075" y="0"/>
            <a:ext cx="8267700" cy="6191250"/>
          </a:xfrm>
          <a:prstGeom prst="homePlate">
            <a:avLst>
              <a:gd name="adj" fmla="val 34923"/>
            </a:avLst>
          </a:prstGeom>
          <a:gradFill>
            <a:gsLst>
              <a:gs pos="0">
                <a:srgbClr val="2A2A2A"/>
              </a:gs>
              <a:gs pos="69000">
                <a:srgbClr val="595959"/>
              </a:gs>
              <a:gs pos="92000">
                <a:srgbClr val="0D0D0D"/>
              </a:gs>
              <a:gs pos="25000">
                <a:srgbClr val="8C8C8C"/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Arrow: Pentagon 2">
            <a:extLst>
              <a:ext uri="{FF2B5EF4-FFF2-40B4-BE49-F238E27FC236}">
                <a16:creationId xmlns:a16="http://schemas.microsoft.com/office/drawing/2014/main" id="{492610A3-D8F1-4668-A961-59797FA14496}"/>
              </a:ext>
            </a:extLst>
          </xdr:cNvPr>
          <xdr:cNvSpPr/>
        </xdr:nvSpPr>
        <xdr:spPr>
          <a:xfrm flipH="1">
            <a:off x="5219700" y="0"/>
            <a:ext cx="8143875" cy="6191250"/>
          </a:xfrm>
          <a:prstGeom prst="homePlate">
            <a:avLst>
              <a:gd name="adj" fmla="val 34923"/>
            </a:avLst>
          </a:prstGeom>
          <a:gradFill>
            <a:gsLst>
              <a:gs pos="0">
                <a:srgbClr val="2A2A2A"/>
              </a:gs>
              <a:gs pos="71000">
                <a:srgbClr val="717171"/>
              </a:gs>
              <a:gs pos="97000">
                <a:srgbClr val="0D0D0D"/>
              </a:gs>
              <a:gs pos="51000">
                <a:srgbClr val="8C8C8C"/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" name="Arrow: Pentagon 1">
            <a:extLst>
              <a:ext uri="{FF2B5EF4-FFF2-40B4-BE49-F238E27FC236}">
                <a16:creationId xmlns:a16="http://schemas.microsoft.com/office/drawing/2014/main" id="{EF41EDE9-7098-42D6-8135-0CB154CEF24C}"/>
              </a:ext>
            </a:extLst>
          </xdr:cNvPr>
          <xdr:cNvSpPr/>
        </xdr:nvSpPr>
        <xdr:spPr>
          <a:xfrm flipH="1">
            <a:off x="6060320" y="0"/>
            <a:ext cx="8103355" cy="6191250"/>
          </a:xfrm>
          <a:prstGeom prst="homePlate">
            <a:avLst>
              <a:gd name="adj" fmla="val 34923"/>
            </a:avLst>
          </a:prstGeom>
          <a:gradFill>
            <a:gsLst>
              <a:gs pos="0">
                <a:srgbClr val="595959"/>
              </a:gs>
              <a:gs pos="98000">
                <a:srgbClr val="0D0D0D"/>
              </a:gs>
              <a:gs pos="61000">
                <a:schemeClr val="bg2">
                  <a:lumMod val="50000"/>
                </a:scheme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400050</xdr:colOff>
      <xdr:row>2</xdr:row>
      <xdr:rowOff>95250</xdr:rowOff>
    </xdr:from>
    <xdr:to>
      <xdr:col>14</xdr:col>
      <xdr:colOff>419100</xdr:colOff>
      <xdr:row>6</xdr:row>
      <xdr:rowOff>152400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8FFE7D-FCCF-4EC0-94D9-5515851A3EF2}"/>
            </a:ext>
          </a:extLst>
        </xdr:cNvPr>
        <xdr:cNvSpPr/>
      </xdr:nvSpPr>
      <xdr:spPr>
        <a:xfrm>
          <a:off x="1009650" y="476250"/>
          <a:ext cx="7943850" cy="819150"/>
        </a:xfrm>
        <a:prstGeom prst="roundRect">
          <a:avLst>
            <a:gd name="adj" fmla="val 11561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285750</xdr:colOff>
      <xdr:row>0</xdr:row>
      <xdr:rowOff>171449</xdr:rowOff>
    </xdr:from>
    <xdr:to>
      <xdr:col>1</xdr:col>
      <xdr:colOff>207645</xdr:colOff>
      <xdr:row>29</xdr:row>
      <xdr:rowOff>180974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410AD69-6031-4CCC-9CCF-F840D57BE744}"/>
            </a:ext>
          </a:extLst>
        </xdr:cNvPr>
        <xdr:cNvGrpSpPr/>
      </xdr:nvGrpSpPr>
      <xdr:grpSpPr>
        <a:xfrm>
          <a:off x="285750" y="171449"/>
          <a:ext cx="546735" cy="5313045"/>
          <a:chOff x="285750" y="171449"/>
          <a:chExt cx="531495" cy="5534025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72E92CDA-C7EF-42C9-BF17-A9D0B643C592}"/>
              </a:ext>
            </a:extLst>
          </xdr:cNvPr>
          <xdr:cNvSpPr/>
        </xdr:nvSpPr>
        <xdr:spPr>
          <a:xfrm>
            <a:off x="314325" y="171449"/>
            <a:ext cx="502920" cy="5534025"/>
          </a:xfrm>
          <a:prstGeom prst="roundRect">
            <a:avLst>
              <a:gd name="adj" fmla="val 11561"/>
            </a:avLst>
          </a:prstGeom>
          <a:solidFill>
            <a:schemeClr val="bg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BAE20FF5-5532-4DF1-AE0E-8AA347A7478B}"/>
              </a:ext>
            </a:extLst>
          </xdr:cNvPr>
          <xdr:cNvSpPr/>
        </xdr:nvSpPr>
        <xdr:spPr>
          <a:xfrm>
            <a:off x="285750" y="171449"/>
            <a:ext cx="502920" cy="5534025"/>
          </a:xfrm>
          <a:prstGeom prst="roundRect">
            <a:avLst>
              <a:gd name="adj" fmla="val 11561"/>
            </a:avLst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457200</xdr:colOff>
      <xdr:row>2</xdr:row>
      <xdr:rowOff>104775</xdr:rowOff>
    </xdr:from>
    <xdr:to>
      <xdr:col>4</xdr:col>
      <xdr:colOff>171450</xdr:colOff>
      <xdr:row>4</xdr:row>
      <xdr:rowOff>85725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E6AA099A-1608-41AF-A99E-9F533C82D44D}"/>
            </a:ext>
          </a:extLst>
        </xdr:cNvPr>
        <xdr:cNvSpPr/>
      </xdr:nvSpPr>
      <xdr:spPr>
        <a:xfrm>
          <a:off x="1066800" y="485775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Total Passengers</a:t>
          </a:r>
        </a:p>
      </xdr:txBody>
    </xdr:sp>
    <xdr:clientData/>
  </xdr:twoCellAnchor>
  <xdr:twoCellAnchor>
    <xdr:from>
      <xdr:col>5</xdr:col>
      <xdr:colOff>88900</xdr:colOff>
      <xdr:row>2</xdr:row>
      <xdr:rowOff>104775</xdr:rowOff>
    </xdr:from>
    <xdr:to>
      <xdr:col>7</xdr:col>
      <xdr:colOff>412750</xdr:colOff>
      <xdr:row>4</xdr:row>
      <xdr:rowOff>85725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41B30C62-0F9A-4BB0-92F8-D53B33453884}"/>
            </a:ext>
          </a:extLst>
        </xdr:cNvPr>
        <xdr:cNvSpPr/>
      </xdr:nvSpPr>
      <xdr:spPr>
        <a:xfrm>
          <a:off x="3136900" y="485775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Average</a:t>
          </a:r>
          <a:r>
            <a:rPr lang="en-US" sz="1100" baseline="0">
              <a:solidFill>
                <a:schemeClr val="bg2">
                  <a:lumMod val="90000"/>
                </a:schemeClr>
              </a:solidFill>
            </a:rPr>
            <a:t> Rider per Trip</a:t>
          </a:r>
          <a:endParaRPr lang="en-US" sz="11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8</xdr:col>
      <xdr:colOff>330200</xdr:colOff>
      <xdr:row>2</xdr:row>
      <xdr:rowOff>104775</xdr:rowOff>
    </xdr:from>
    <xdr:to>
      <xdr:col>11</xdr:col>
      <xdr:colOff>44450</xdr:colOff>
      <xdr:row>4</xdr:row>
      <xdr:rowOff>85725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57527E3-7C67-4D4F-9086-7AF4B6DB4764}"/>
            </a:ext>
          </a:extLst>
        </xdr:cNvPr>
        <xdr:cNvSpPr/>
      </xdr:nvSpPr>
      <xdr:spPr>
        <a:xfrm>
          <a:off x="5207000" y="485775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Busiest Route</a:t>
          </a:r>
        </a:p>
      </xdr:txBody>
    </xdr:sp>
    <xdr:clientData/>
  </xdr:twoCellAnchor>
  <xdr:twoCellAnchor>
    <xdr:from>
      <xdr:col>11</xdr:col>
      <xdr:colOff>542925</xdr:colOff>
      <xdr:row>2</xdr:row>
      <xdr:rowOff>95250</xdr:rowOff>
    </xdr:from>
    <xdr:to>
      <xdr:col>14</xdr:col>
      <xdr:colOff>257175</xdr:colOff>
      <xdr:row>4</xdr:row>
      <xdr:rowOff>76200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E049628A-3117-40EE-8DF7-D6D79A277967}"/>
            </a:ext>
          </a:extLst>
        </xdr:cNvPr>
        <xdr:cNvSpPr/>
      </xdr:nvSpPr>
      <xdr:spPr>
        <a:xfrm>
          <a:off x="7248525" y="476250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Least</a:t>
          </a:r>
          <a:r>
            <a:rPr lang="en-US" sz="1100" baseline="0">
              <a:solidFill>
                <a:schemeClr val="bg2">
                  <a:lumMod val="90000"/>
                </a:schemeClr>
              </a:solidFill>
            </a:rPr>
            <a:t> Busy Route</a:t>
          </a:r>
          <a:endParaRPr lang="en-US" sz="11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1</xdr:col>
      <xdr:colOff>447675</xdr:colOff>
      <xdr:row>4</xdr:row>
      <xdr:rowOff>161925</xdr:rowOff>
    </xdr:from>
    <xdr:to>
      <xdr:col>4</xdr:col>
      <xdr:colOff>161925</xdr:colOff>
      <xdr:row>6</xdr:row>
      <xdr:rowOff>142875</xdr:rowOff>
    </xdr:to>
    <xdr:sp macro="" textlink="Sheet!B5">
      <xdr:nvSpPr>
        <xdr:cNvPr id="16" name="Rectangle: Rounded Corners 15">
          <a:extLst>
            <a:ext uri="{FF2B5EF4-FFF2-40B4-BE49-F238E27FC236}">
              <a16:creationId xmlns:a16="http://schemas.microsoft.com/office/drawing/2014/main" id="{E4A62396-EF3F-404C-AC33-C9C87F65C7EB}"/>
            </a:ext>
          </a:extLst>
        </xdr:cNvPr>
        <xdr:cNvSpPr/>
      </xdr:nvSpPr>
      <xdr:spPr>
        <a:xfrm>
          <a:off x="1057275" y="923925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881CC75-5228-4DB0-9B70-31436E0ACE9F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6,587</a:t>
          </a:fld>
          <a:endParaRPr lang="en-US" sz="24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4</xdr:col>
      <xdr:colOff>527050</xdr:colOff>
      <xdr:row>4</xdr:row>
      <xdr:rowOff>161925</xdr:rowOff>
    </xdr:from>
    <xdr:to>
      <xdr:col>7</xdr:col>
      <xdr:colOff>241300</xdr:colOff>
      <xdr:row>6</xdr:row>
      <xdr:rowOff>142875</xdr:rowOff>
    </xdr:to>
    <xdr:sp macro="" textlink="Sheet!C5">
      <xdr:nvSpPr>
        <xdr:cNvPr id="17" name="Rectangle: Rounded Corners 16">
          <a:extLst>
            <a:ext uri="{FF2B5EF4-FFF2-40B4-BE49-F238E27FC236}">
              <a16:creationId xmlns:a16="http://schemas.microsoft.com/office/drawing/2014/main" id="{DC2C0B3E-7825-4353-95EC-FC3585E0ECB2}"/>
            </a:ext>
          </a:extLst>
        </xdr:cNvPr>
        <xdr:cNvSpPr/>
      </xdr:nvSpPr>
      <xdr:spPr>
        <a:xfrm>
          <a:off x="2965450" y="923925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B83A29F-6B27-4F57-A2ED-93CCF8C68478}" type="TxLink">
            <a:rPr lang="en-US" sz="1600" b="1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33</a:t>
          </a:fld>
          <a:endParaRPr lang="en-US" sz="16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7</xdr:col>
      <xdr:colOff>606425</xdr:colOff>
      <xdr:row>4</xdr:row>
      <xdr:rowOff>161925</xdr:rowOff>
    </xdr:from>
    <xdr:to>
      <xdr:col>10</xdr:col>
      <xdr:colOff>320675</xdr:colOff>
      <xdr:row>6</xdr:row>
      <xdr:rowOff>142875</xdr:rowOff>
    </xdr:to>
    <xdr:sp macro="" textlink="Sheet!B10">
      <xdr:nvSpPr>
        <xdr:cNvPr id="18" name="Rectangle: Rounded Corners 17">
          <a:extLst>
            <a:ext uri="{FF2B5EF4-FFF2-40B4-BE49-F238E27FC236}">
              <a16:creationId xmlns:a16="http://schemas.microsoft.com/office/drawing/2014/main" id="{0F206ED6-29CF-4D64-83CD-65B480D794B1}"/>
            </a:ext>
          </a:extLst>
        </xdr:cNvPr>
        <xdr:cNvSpPr/>
      </xdr:nvSpPr>
      <xdr:spPr>
        <a:xfrm>
          <a:off x="4873625" y="923925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8DC6EE4-1B0E-4618-B47B-0C1BF316EBC5}" type="TxLink">
            <a:rPr lang="en-US" sz="1600" b="1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 </a:t>
          </a:fld>
          <a:endParaRPr lang="en-US" sz="16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11</xdr:col>
      <xdr:colOff>476250</xdr:colOff>
      <xdr:row>4</xdr:row>
      <xdr:rowOff>152400</xdr:rowOff>
    </xdr:from>
    <xdr:to>
      <xdr:col>14</xdr:col>
      <xdr:colOff>361950</xdr:colOff>
      <xdr:row>6</xdr:row>
      <xdr:rowOff>133350</xdr:rowOff>
    </xdr:to>
    <xdr:sp macro="" textlink="Sheet!B23">
      <xdr:nvSpPr>
        <xdr:cNvPr id="19" name="Rectangle: Rounded Corners 18">
          <a:extLst>
            <a:ext uri="{FF2B5EF4-FFF2-40B4-BE49-F238E27FC236}">
              <a16:creationId xmlns:a16="http://schemas.microsoft.com/office/drawing/2014/main" id="{1882BDC0-B259-4621-9F0F-31AC61529D66}"/>
            </a:ext>
          </a:extLst>
        </xdr:cNvPr>
        <xdr:cNvSpPr/>
      </xdr:nvSpPr>
      <xdr:spPr>
        <a:xfrm>
          <a:off x="7181850" y="914400"/>
          <a:ext cx="171450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44446AB-A84C-40B5-8BCA-5AA683B1B6D3}" type="TxLink">
            <a:rPr lang="en-US" sz="16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South Line</a:t>
          </a:fld>
          <a:endParaRPr lang="en-US" sz="1600" b="1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447675</xdr:colOff>
      <xdr:row>4</xdr:row>
      <xdr:rowOff>95250</xdr:rowOff>
    </xdr:from>
    <xdr:to>
      <xdr:col>14</xdr:col>
      <xdr:colOff>371475</xdr:colOff>
      <xdr:row>4</xdr:row>
      <xdr:rowOff>140969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B595BBC4-085A-4F76-AF0D-5F86F2274F72}"/>
            </a:ext>
          </a:extLst>
        </xdr:cNvPr>
        <xdr:cNvSpPr/>
      </xdr:nvSpPr>
      <xdr:spPr>
        <a:xfrm>
          <a:off x="1057275" y="857250"/>
          <a:ext cx="7848600" cy="45719"/>
        </a:xfrm>
        <a:prstGeom prst="rect">
          <a:avLst/>
        </a:prstGeom>
        <a:gradFill>
          <a:gsLst>
            <a:gs pos="0">
              <a:srgbClr val="0D0D0D"/>
            </a:gs>
            <a:gs pos="100000">
              <a:srgbClr val="0D0D0D"/>
            </a:gs>
            <a:gs pos="48000">
              <a:srgbClr val="8C8C8C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600075</xdr:colOff>
      <xdr:row>4</xdr:row>
      <xdr:rowOff>47625</xdr:rowOff>
    </xdr:from>
    <xdr:to>
      <xdr:col>6</xdr:col>
      <xdr:colOff>123825</xdr:colOff>
      <xdr:row>4</xdr:row>
      <xdr:rowOff>180975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E1A3D32E-B232-4F8A-8E0C-29FA834263FE}"/>
            </a:ext>
          </a:extLst>
        </xdr:cNvPr>
        <xdr:cNvSpPr/>
      </xdr:nvSpPr>
      <xdr:spPr>
        <a:xfrm>
          <a:off x="3648075" y="809625"/>
          <a:ext cx="133350" cy="133350"/>
        </a:xfrm>
        <a:prstGeom prst="ellipse">
          <a:avLst/>
        </a:prstGeom>
        <a:solidFill>
          <a:srgbClr val="59595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447675</xdr:colOff>
      <xdr:row>4</xdr:row>
      <xdr:rowOff>57150</xdr:rowOff>
    </xdr:from>
    <xdr:to>
      <xdr:col>9</xdr:col>
      <xdr:colOff>581025</xdr:colOff>
      <xdr:row>5</xdr:row>
      <xdr:rowOff>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A645CC08-87B6-4501-B38B-96047CB2565C}"/>
            </a:ext>
          </a:extLst>
        </xdr:cNvPr>
        <xdr:cNvSpPr/>
      </xdr:nvSpPr>
      <xdr:spPr>
        <a:xfrm>
          <a:off x="5934075" y="819150"/>
          <a:ext cx="133350" cy="133350"/>
        </a:xfrm>
        <a:prstGeom prst="ellipse">
          <a:avLst/>
        </a:prstGeom>
        <a:solidFill>
          <a:srgbClr val="59595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523875</xdr:colOff>
      <xdr:row>4</xdr:row>
      <xdr:rowOff>57150</xdr:rowOff>
    </xdr:from>
    <xdr:to>
      <xdr:col>3</xdr:col>
      <xdr:colOff>47625</xdr:colOff>
      <xdr:row>5</xdr:row>
      <xdr:rowOff>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C6C93A54-E095-448C-BCC3-0AA3F6B83388}"/>
            </a:ext>
          </a:extLst>
        </xdr:cNvPr>
        <xdr:cNvSpPr/>
      </xdr:nvSpPr>
      <xdr:spPr>
        <a:xfrm>
          <a:off x="1743075" y="819150"/>
          <a:ext cx="133350" cy="133350"/>
        </a:xfrm>
        <a:prstGeom prst="ellipse">
          <a:avLst/>
        </a:prstGeom>
        <a:solidFill>
          <a:srgbClr val="59595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38100</xdr:colOff>
      <xdr:row>4</xdr:row>
      <xdr:rowOff>28575</xdr:rowOff>
    </xdr:from>
    <xdr:to>
      <xdr:col>13</xdr:col>
      <xdr:colOff>171450</xdr:colOff>
      <xdr:row>4</xdr:row>
      <xdr:rowOff>161925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0AC26062-6F11-4C3B-8C1D-BBE23CDB674B}"/>
            </a:ext>
          </a:extLst>
        </xdr:cNvPr>
        <xdr:cNvSpPr/>
      </xdr:nvSpPr>
      <xdr:spPr>
        <a:xfrm>
          <a:off x="7962900" y="790575"/>
          <a:ext cx="133350" cy="133350"/>
        </a:xfrm>
        <a:prstGeom prst="ellipse">
          <a:avLst/>
        </a:prstGeom>
        <a:solidFill>
          <a:srgbClr val="59595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</xdr:colOff>
      <xdr:row>0</xdr:row>
      <xdr:rowOff>91440</xdr:rowOff>
    </xdr:from>
    <xdr:to>
      <xdr:col>10</xdr:col>
      <xdr:colOff>57150</xdr:colOff>
      <xdr:row>2</xdr:row>
      <xdr:rowOff>72390</xdr:rowOff>
    </xdr:to>
    <xdr:sp macro="" textlink="Sheet!B5">
      <xdr:nvSpPr>
        <xdr:cNvPr id="25" name="Rectangle: Rounded Corners 24">
          <a:extLst>
            <a:ext uri="{FF2B5EF4-FFF2-40B4-BE49-F238E27FC236}">
              <a16:creationId xmlns:a16="http://schemas.microsoft.com/office/drawing/2014/main" id="{01AF9323-DF78-40DB-B128-5DBCCA7CEF56}"/>
            </a:ext>
          </a:extLst>
        </xdr:cNvPr>
        <xdr:cNvSpPr/>
      </xdr:nvSpPr>
      <xdr:spPr>
        <a:xfrm>
          <a:off x="2556510" y="91440"/>
          <a:ext cx="3749040" cy="34671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>
                  <a:lumMod val="85000"/>
                </a:schemeClr>
              </a:solidFill>
              <a:latin typeface="Lato Black" panose="020F0A02020204030203" pitchFamily="34" charset="0"/>
            </a:rPr>
            <a:t>Bus Transportation</a:t>
          </a:r>
          <a:r>
            <a:rPr lang="en-US" sz="1600" b="1" baseline="0">
              <a:solidFill>
                <a:schemeClr val="bg1">
                  <a:lumMod val="85000"/>
                </a:schemeClr>
              </a:solidFill>
              <a:latin typeface="Lato Black" panose="020F0A02020204030203" pitchFamily="34" charset="0"/>
            </a:rPr>
            <a:t> Dashboard</a:t>
          </a:r>
          <a:endParaRPr lang="en-US" sz="1600" b="1">
            <a:solidFill>
              <a:schemeClr val="bg1">
                <a:lumMod val="85000"/>
              </a:schemeClr>
            </a:solidFill>
            <a:latin typeface="Lato Black" panose="020F0A02020204030203" pitchFamily="34" charset="0"/>
          </a:endParaRPr>
        </a:p>
      </xdr:txBody>
    </xdr:sp>
    <xdr:clientData/>
  </xdr:twoCellAnchor>
  <xdr:twoCellAnchor>
    <xdr:from>
      <xdr:col>1</xdr:col>
      <xdr:colOff>400051</xdr:colOff>
      <xdr:row>8</xdr:row>
      <xdr:rowOff>95249</xdr:rowOff>
    </xdr:from>
    <xdr:to>
      <xdr:col>9</xdr:col>
      <xdr:colOff>428625</xdr:colOff>
      <xdr:row>21</xdr:row>
      <xdr:rowOff>152400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F78116ED-CDDF-46F9-BBCE-DBB24CFA2AB0}"/>
            </a:ext>
          </a:extLst>
        </xdr:cNvPr>
        <xdr:cNvGrpSpPr/>
      </xdr:nvGrpSpPr>
      <xdr:grpSpPr>
        <a:xfrm>
          <a:off x="1024891" y="1558289"/>
          <a:ext cx="5027294" cy="2434591"/>
          <a:chOff x="1009651" y="1619249"/>
          <a:chExt cx="4772024" cy="2533651"/>
        </a:xfrm>
      </xdr:grpSpPr>
      <xdr:sp macro="" textlink="">
        <xdr:nvSpPr>
          <xdr:cNvPr id="41" name="Rectangle: Rounded Corners 40">
            <a:extLst>
              <a:ext uri="{FF2B5EF4-FFF2-40B4-BE49-F238E27FC236}">
                <a16:creationId xmlns:a16="http://schemas.microsoft.com/office/drawing/2014/main" id="{7DE040A8-2AF4-4A10-AC59-7C4ACEA21F02}"/>
              </a:ext>
            </a:extLst>
          </xdr:cNvPr>
          <xdr:cNvSpPr/>
        </xdr:nvSpPr>
        <xdr:spPr>
          <a:xfrm>
            <a:off x="1028701" y="1619249"/>
            <a:ext cx="4752974" cy="2514601"/>
          </a:xfrm>
          <a:prstGeom prst="roundRect">
            <a:avLst>
              <a:gd name="adj" fmla="val 4987"/>
            </a:avLst>
          </a:prstGeom>
          <a:solidFill>
            <a:schemeClr val="bg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Rectangle: Rounded Corners 25">
            <a:extLst>
              <a:ext uri="{FF2B5EF4-FFF2-40B4-BE49-F238E27FC236}">
                <a16:creationId xmlns:a16="http://schemas.microsoft.com/office/drawing/2014/main" id="{2F7E8A11-FFB9-467B-A6A9-AD3D73E96119}"/>
              </a:ext>
            </a:extLst>
          </xdr:cNvPr>
          <xdr:cNvSpPr/>
        </xdr:nvSpPr>
        <xdr:spPr>
          <a:xfrm>
            <a:off x="1009651" y="1638299"/>
            <a:ext cx="4752974" cy="2514601"/>
          </a:xfrm>
          <a:prstGeom prst="roundRect">
            <a:avLst>
              <a:gd name="adj" fmla="val 4987"/>
            </a:avLst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552450</xdr:colOff>
      <xdr:row>10</xdr:row>
      <xdr:rowOff>95250</xdr:rowOff>
    </xdr:from>
    <xdr:to>
      <xdr:col>13</xdr:col>
      <xdr:colOff>76200</xdr:colOff>
      <xdr:row>11</xdr:row>
      <xdr:rowOff>38100</xdr:rowOff>
    </xdr:to>
    <xdr:sp macro="" textlink="">
      <xdr:nvSpPr>
        <xdr:cNvPr id="27" name="Oval 26">
          <a:extLst>
            <a:ext uri="{FF2B5EF4-FFF2-40B4-BE49-F238E27FC236}">
              <a16:creationId xmlns:a16="http://schemas.microsoft.com/office/drawing/2014/main" id="{D742A0EA-988D-4190-83BA-24614357D2D3}"/>
            </a:ext>
          </a:extLst>
        </xdr:cNvPr>
        <xdr:cNvSpPr/>
      </xdr:nvSpPr>
      <xdr:spPr>
        <a:xfrm>
          <a:off x="1162050" y="1809750"/>
          <a:ext cx="133350" cy="133350"/>
        </a:xfrm>
        <a:prstGeom prst="ellipse">
          <a:avLst/>
        </a:prstGeom>
        <a:solidFill>
          <a:srgbClr val="595959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57150</xdr:colOff>
      <xdr:row>8</xdr:row>
      <xdr:rowOff>161925</xdr:rowOff>
    </xdr:from>
    <xdr:to>
      <xdr:col>5</xdr:col>
      <xdr:colOff>285750</xdr:colOff>
      <xdr:row>10</xdr:row>
      <xdr:rowOff>142875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E16EAEF4-0159-46CC-B508-87552603034B}"/>
            </a:ext>
          </a:extLst>
        </xdr:cNvPr>
        <xdr:cNvSpPr/>
      </xdr:nvSpPr>
      <xdr:spPr>
        <a:xfrm>
          <a:off x="1276350" y="1685925"/>
          <a:ext cx="205740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2">
                  <a:lumMod val="90000"/>
                </a:schemeClr>
              </a:solidFill>
            </a:rPr>
            <a:t>Bus</a:t>
          </a:r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 Utilization by Time Range</a:t>
          </a:r>
          <a:endParaRPr lang="en-US" sz="12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4</xdr:col>
      <xdr:colOff>523875</xdr:colOff>
      <xdr:row>8</xdr:row>
      <xdr:rowOff>171450</xdr:rowOff>
    </xdr:from>
    <xdr:to>
      <xdr:col>8</xdr:col>
      <xdr:colOff>142875</xdr:colOff>
      <xdr:row>10</xdr:row>
      <xdr:rowOff>152400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D91F3A8F-D5E0-41EC-BBAF-5395BCEAA439}"/>
            </a:ext>
          </a:extLst>
        </xdr:cNvPr>
        <xdr:cNvSpPr/>
      </xdr:nvSpPr>
      <xdr:spPr>
        <a:xfrm>
          <a:off x="2962275" y="1695450"/>
          <a:ext cx="205740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bg2">
                  <a:lumMod val="90000"/>
                </a:schemeClr>
              </a:solidFill>
            </a:rPr>
            <a:t>(Total</a:t>
          </a:r>
          <a:r>
            <a:rPr lang="en-US" sz="1050" baseline="0">
              <a:solidFill>
                <a:schemeClr val="bg2">
                  <a:lumMod val="90000"/>
                </a:schemeClr>
              </a:solidFill>
            </a:rPr>
            <a:t> Passengers by Time)</a:t>
          </a:r>
          <a:endParaRPr lang="en-US" sz="105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1</xdr:col>
      <xdr:colOff>476250</xdr:colOff>
      <xdr:row>7</xdr:row>
      <xdr:rowOff>104775</xdr:rowOff>
    </xdr:from>
    <xdr:to>
      <xdr:col>5</xdr:col>
      <xdr:colOff>561975</xdr:colOff>
      <xdr:row>21</xdr:row>
      <xdr:rowOff>104774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175213E8-15B2-42E6-8027-6FF2898010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285751</xdr:colOff>
      <xdr:row>11</xdr:row>
      <xdr:rowOff>94640</xdr:rowOff>
    </xdr:from>
    <xdr:to>
      <xdr:col>7</xdr:col>
      <xdr:colOff>581637</xdr:colOff>
      <xdr:row>13</xdr:row>
      <xdr:rowOff>9526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5EEA0EC1-A0D0-477D-9DAB-701AAD3CB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2951" y="2190140"/>
          <a:ext cx="295886" cy="295886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16</xdr:row>
      <xdr:rowOff>28955</xdr:rowOff>
    </xdr:from>
    <xdr:to>
      <xdr:col>7</xdr:col>
      <xdr:colOff>587770</xdr:colOff>
      <xdr:row>17</xdr:row>
      <xdr:rowOff>66675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C2C2274B-489E-4714-A4F5-A992C6AA4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3076955"/>
          <a:ext cx="228220" cy="228220"/>
        </a:xfrm>
        <a:prstGeom prst="rect">
          <a:avLst/>
        </a:prstGeom>
      </xdr:spPr>
    </xdr:pic>
    <xdr:clientData/>
  </xdr:twoCellAnchor>
  <xdr:twoCellAnchor>
    <xdr:from>
      <xdr:col>6</xdr:col>
      <xdr:colOff>298450</xdr:colOff>
      <xdr:row>12</xdr:row>
      <xdr:rowOff>104775</xdr:rowOff>
    </xdr:from>
    <xdr:to>
      <xdr:col>9</xdr:col>
      <xdr:colOff>12700</xdr:colOff>
      <xdr:row>14</xdr:row>
      <xdr:rowOff>85725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12319A6B-5CC3-4CEF-AA76-866CCA459B92}"/>
            </a:ext>
          </a:extLst>
        </xdr:cNvPr>
        <xdr:cNvSpPr/>
      </xdr:nvSpPr>
      <xdr:spPr>
        <a:xfrm>
          <a:off x="3956050" y="2390775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6</xdr:col>
      <xdr:colOff>269875</xdr:colOff>
      <xdr:row>12</xdr:row>
      <xdr:rowOff>95250</xdr:rowOff>
    </xdr:from>
    <xdr:to>
      <xdr:col>9</xdr:col>
      <xdr:colOff>85725</xdr:colOff>
      <xdr:row>14</xdr:row>
      <xdr:rowOff>76200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8554FCFC-6215-4C25-AA14-630125378E31}"/>
            </a:ext>
          </a:extLst>
        </xdr:cNvPr>
        <xdr:cNvSpPr/>
      </xdr:nvSpPr>
      <xdr:spPr>
        <a:xfrm>
          <a:off x="3927475" y="2381250"/>
          <a:ext cx="16446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2">
                  <a:lumMod val="90000"/>
                </a:schemeClr>
              </a:solidFill>
            </a:rPr>
            <a:t>Peak</a:t>
          </a:r>
          <a:r>
            <a:rPr lang="en-US" sz="1000" baseline="0">
              <a:solidFill>
                <a:schemeClr val="bg2">
                  <a:lumMod val="90000"/>
                </a:schemeClr>
              </a:solidFill>
            </a:rPr>
            <a:t> Hour of Operation</a:t>
          </a:r>
          <a:endParaRPr lang="en-US" sz="10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6</xdr:col>
      <xdr:colOff>279400</xdr:colOff>
      <xdr:row>16</xdr:row>
      <xdr:rowOff>133350</xdr:rowOff>
    </xdr:from>
    <xdr:to>
      <xdr:col>9</xdr:col>
      <xdr:colOff>95250</xdr:colOff>
      <xdr:row>18</xdr:row>
      <xdr:rowOff>114300</xdr:rowOff>
    </xdr:to>
    <xdr:sp macro="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136D599D-16F8-489A-9648-68524F498B94}"/>
            </a:ext>
          </a:extLst>
        </xdr:cNvPr>
        <xdr:cNvSpPr/>
      </xdr:nvSpPr>
      <xdr:spPr>
        <a:xfrm>
          <a:off x="3937000" y="3181350"/>
          <a:ext cx="16446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2">
                  <a:lumMod val="90000"/>
                </a:schemeClr>
              </a:solidFill>
            </a:rPr>
            <a:t>Off-Peak</a:t>
          </a:r>
          <a:r>
            <a:rPr lang="en-US" sz="1000" baseline="0">
              <a:solidFill>
                <a:schemeClr val="bg2">
                  <a:lumMod val="90000"/>
                </a:schemeClr>
              </a:solidFill>
            </a:rPr>
            <a:t> Hour of Operation</a:t>
          </a:r>
          <a:endParaRPr lang="en-US" sz="10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6</xdr:col>
      <xdr:colOff>298450</xdr:colOff>
      <xdr:row>13</xdr:row>
      <xdr:rowOff>76200</xdr:rowOff>
    </xdr:from>
    <xdr:to>
      <xdr:col>9</xdr:col>
      <xdr:colOff>12700</xdr:colOff>
      <xdr:row>15</xdr:row>
      <xdr:rowOff>57150</xdr:rowOff>
    </xdr:to>
    <xdr:sp macro="" textlink="Sheet!G14">
      <xdr:nvSpPr>
        <xdr:cNvPr id="38" name="Rectangle: Rounded Corners 37">
          <a:extLst>
            <a:ext uri="{FF2B5EF4-FFF2-40B4-BE49-F238E27FC236}">
              <a16:creationId xmlns:a16="http://schemas.microsoft.com/office/drawing/2014/main" id="{7BFD1F1A-985B-4E08-835A-4FC9F896B479}"/>
            </a:ext>
          </a:extLst>
        </xdr:cNvPr>
        <xdr:cNvSpPr/>
      </xdr:nvSpPr>
      <xdr:spPr>
        <a:xfrm>
          <a:off x="3956050" y="2552700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7E77E99-5417-4F76-B3D4-27F93CEDC22E}" type="TxLink">
            <a:rPr lang="en-US" sz="1200" b="1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11:41:00 AM</a:t>
          </a:fld>
          <a:endParaRPr lang="en-U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6</xdr:col>
      <xdr:colOff>317500</xdr:colOff>
      <xdr:row>17</xdr:row>
      <xdr:rowOff>114300</xdr:rowOff>
    </xdr:from>
    <xdr:to>
      <xdr:col>9</xdr:col>
      <xdr:colOff>31750</xdr:colOff>
      <xdr:row>19</xdr:row>
      <xdr:rowOff>95250</xdr:rowOff>
    </xdr:to>
    <xdr:sp macro="" textlink="Sheet!G18">
      <xdr:nvSpPr>
        <xdr:cNvPr id="39" name="Rectangle: Rounded Corners 38">
          <a:extLst>
            <a:ext uri="{FF2B5EF4-FFF2-40B4-BE49-F238E27FC236}">
              <a16:creationId xmlns:a16="http://schemas.microsoft.com/office/drawing/2014/main" id="{7CED5149-0F4B-42D0-85CA-6CA97274B230}"/>
            </a:ext>
          </a:extLst>
        </xdr:cNvPr>
        <xdr:cNvSpPr/>
      </xdr:nvSpPr>
      <xdr:spPr>
        <a:xfrm>
          <a:off x="3975100" y="3352800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32C1A26-6286-4893-8B5B-1881E86264EA}" type="TxLink">
            <a:rPr lang="en-US" sz="1200" b="1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12:34:00 PM</a:t>
          </a:fld>
          <a:endParaRPr lang="en-U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</xdr:col>
      <xdr:colOff>400051</xdr:colOff>
      <xdr:row>22</xdr:row>
      <xdr:rowOff>123825</xdr:rowOff>
    </xdr:from>
    <xdr:to>
      <xdr:col>9</xdr:col>
      <xdr:colOff>428625</xdr:colOff>
      <xdr:row>29</xdr:row>
      <xdr:rowOff>133350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411ABE5B-FFE8-46B9-AF8E-E93060F8B899}"/>
            </a:ext>
          </a:extLst>
        </xdr:cNvPr>
        <xdr:cNvGrpSpPr/>
      </xdr:nvGrpSpPr>
      <xdr:grpSpPr>
        <a:xfrm>
          <a:off x="1024891" y="4147185"/>
          <a:ext cx="5027294" cy="1289685"/>
          <a:chOff x="1009651" y="1619249"/>
          <a:chExt cx="4772024" cy="2533651"/>
        </a:xfrm>
      </xdr:grpSpPr>
      <xdr:sp macro="" textlink="">
        <xdr:nvSpPr>
          <xdr:cNvPr id="44" name="Rectangle: Rounded Corners 43">
            <a:extLst>
              <a:ext uri="{FF2B5EF4-FFF2-40B4-BE49-F238E27FC236}">
                <a16:creationId xmlns:a16="http://schemas.microsoft.com/office/drawing/2014/main" id="{C02889C3-FE79-48BA-A88C-915549810558}"/>
              </a:ext>
            </a:extLst>
          </xdr:cNvPr>
          <xdr:cNvSpPr/>
        </xdr:nvSpPr>
        <xdr:spPr>
          <a:xfrm>
            <a:off x="1028701" y="1619249"/>
            <a:ext cx="4752974" cy="2514601"/>
          </a:xfrm>
          <a:prstGeom prst="roundRect">
            <a:avLst>
              <a:gd name="adj" fmla="val 4987"/>
            </a:avLst>
          </a:prstGeom>
          <a:solidFill>
            <a:schemeClr val="bg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7484DC01-0988-442B-A0BE-F5B88F083C35}"/>
              </a:ext>
            </a:extLst>
          </xdr:cNvPr>
          <xdr:cNvSpPr/>
        </xdr:nvSpPr>
        <xdr:spPr>
          <a:xfrm>
            <a:off x="1009651" y="1638299"/>
            <a:ext cx="4752974" cy="2514601"/>
          </a:xfrm>
          <a:prstGeom prst="roundRect">
            <a:avLst>
              <a:gd name="adj" fmla="val 4987"/>
            </a:avLst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476252</xdr:colOff>
      <xdr:row>23</xdr:row>
      <xdr:rowOff>76200</xdr:rowOff>
    </xdr:from>
    <xdr:to>
      <xdr:col>4</xdr:col>
      <xdr:colOff>600076</xdr:colOff>
      <xdr:row>29</xdr:row>
      <xdr:rowOff>61911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CB96572B-D8D9-450C-B169-0A362BD54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581026</xdr:colOff>
      <xdr:row>23</xdr:row>
      <xdr:rowOff>0</xdr:rowOff>
    </xdr:from>
    <xdr:to>
      <xdr:col>5</xdr:col>
      <xdr:colOff>495300</xdr:colOff>
      <xdr:row>24</xdr:row>
      <xdr:rowOff>171450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687BF2B9-C096-48D7-BBA3-362C4395263B}"/>
            </a:ext>
          </a:extLst>
        </xdr:cNvPr>
        <xdr:cNvSpPr/>
      </xdr:nvSpPr>
      <xdr:spPr>
        <a:xfrm>
          <a:off x="1190626" y="4381500"/>
          <a:ext cx="2352674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2">
                  <a:lumMod val="90000"/>
                </a:schemeClr>
              </a:solidFill>
            </a:rPr>
            <a:t>Total</a:t>
          </a:r>
          <a:r>
            <a:rPr lang="en-US" sz="1050" baseline="0">
              <a:solidFill>
                <a:schemeClr val="bg2">
                  <a:lumMod val="90000"/>
                </a:schemeClr>
              </a:solidFill>
            </a:rPr>
            <a:t> </a:t>
          </a:r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Riders</a:t>
          </a:r>
          <a:r>
            <a:rPr lang="en-US" sz="1050" baseline="0">
              <a:solidFill>
                <a:schemeClr val="bg2">
                  <a:lumMod val="90000"/>
                </a:schemeClr>
              </a:solidFill>
            </a:rPr>
            <a:t> </a:t>
          </a:r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Yearly</a:t>
          </a:r>
          <a:r>
            <a:rPr lang="en-US" sz="1050" baseline="0">
              <a:solidFill>
                <a:schemeClr val="bg2">
                  <a:lumMod val="90000"/>
                </a:schemeClr>
              </a:solidFill>
            </a:rPr>
            <a:t> </a:t>
          </a:r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Distribution</a:t>
          </a:r>
          <a:endParaRPr lang="en-US" sz="12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12</xdr:col>
      <xdr:colOff>542925</xdr:colOff>
      <xdr:row>24</xdr:row>
      <xdr:rowOff>123825</xdr:rowOff>
    </xdr:from>
    <xdr:to>
      <xdr:col>13</xdr:col>
      <xdr:colOff>66675</xdr:colOff>
      <xdr:row>25</xdr:row>
      <xdr:rowOff>66675</xdr:rowOff>
    </xdr:to>
    <xdr:sp macro="" textlink="">
      <xdr:nvSpPr>
        <xdr:cNvPr id="48" name="Oval 47">
          <a:extLst>
            <a:ext uri="{FF2B5EF4-FFF2-40B4-BE49-F238E27FC236}">
              <a16:creationId xmlns:a16="http://schemas.microsoft.com/office/drawing/2014/main" id="{690D72E7-7995-4FB8-97F2-FED106E04023}"/>
            </a:ext>
          </a:extLst>
        </xdr:cNvPr>
        <xdr:cNvSpPr/>
      </xdr:nvSpPr>
      <xdr:spPr>
        <a:xfrm>
          <a:off x="1152525" y="4505325"/>
          <a:ext cx="133350" cy="133350"/>
        </a:xfrm>
        <a:prstGeom prst="ellipse">
          <a:avLst/>
        </a:prstGeom>
        <a:solidFill>
          <a:srgbClr val="595959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161924</xdr:colOff>
      <xdr:row>24</xdr:row>
      <xdr:rowOff>66675</xdr:rowOff>
    </xdr:from>
    <xdr:to>
      <xdr:col>7</xdr:col>
      <xdr:colOff>514349</xdr:colOff>
      <xdr:row>26</xdr:row>
      <xdr:rowOff>47625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A1CC85D4-4A1B-4B33-84F2-1235CE52FC89}"/>
            </a:ext>
          </a:extLst>
        </xdr:cNvPr>
        <xdr:cNvSpPr/>
      </xdr:nvSpPr>
      <xdr:spPr>
        <a:xfrm>
          <a:off x="3209924" y="4638675"/>
          <a:ext cx="1571625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2">
                  <a:lumMod val="90000"/>
                </a:schemeClr>
              </a:solidFill>
            </a:rPr>
            <a:t>YoY</a:t>
          </a:r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 Change</a:t>
          </a:r>
          <a:endParaRPr lang="en-US" sz="12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5</xdr:col>
      <xdr:colOff>184150</xdr:colOff>
      <xdr:row>25</xdr:row>
      <xdr:rowOff>95250</xdr:rowOff>
    </xdr:from>
    <xdr:to>
      <xdr:col>7</xdr:col>
      <xdr:colOff>508000</xdr:colOff>
      <xdr:row>27</xdr:row>
      <xdr:rowOff>76200</xdr:rowOff>
    </xdr:to>
    <xdr:sp macro="" textlink="Sheet!L18">
      <xdr:nvSpPr>
        <xdr:cNvPr id="50" name="Rectangle: Rounded Corners 49">
          <a:extLst>
            <a:ext uri="{FF2B5EF4-FFF2-40B4-BE49-F238E27FC236}">
              <a16:creationId xmlns:a16="http://schemas.microsoft.com/office/drawing/2014/main" id="{E06621A1-DDD8-4516-A969-C5C1C94FEA44}"/>
            </a:ext>
          </a:extLst>
        </xdr:cNvPr>
        <xdr:cNvSpPr/>
      </xdr:nvSpPr>
      <xdr:spPr>
        <a:xfrm>
          <a:off x="3232150" y="4857750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8C1C79B-CD9B-4581-B2C4-AB57B663B390}" type="TxLink">
            <a:rPr lang="en-US" sz="1600" b="1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-83.50%</a:t>
          </a:fld>
          <a:endParaRPr lang="en-US" sz="16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5</xdr:col>
      <xdr:colOff>174625</xdr:colOff>
      <xdr:row>26</xdr:row>
      <xdr:rowOff>123825</xdr:rowOff>
    </xdr:from>
    <xdr:to>
      <xdr:col>7</xdr:col>
      <xdr:colOff>498475</xdr:colOff>
      <xdr:row>28</xdr:row>
      <xdr:rowOff>104775</xdr:rowOff>
    </xdr:to>
    <xdr:sp macro="" textlink="Sheet!M18">
      <xdr:nvSpPr>
        <xdr:cNvPr id="51" name="Rectangle: Rounded Corners 50">
          <a:extLst>
            <a:ext uri="{FF2B5EF4-FFF2-40B4-BE49-F238E27FC236}">
              <a16:creationId xmlns:a16="http://schemas.microsoft.com/office/drawing/2014/main" id="{8F52BD46-E497-4902-ACF3-A83531876B52}"/>
            </a:ext>
          </a:extLst>
        </xdr:cNvPr>
        <xdr:cNvSpPr/>
      </xdr:nvSpPr>
      <xdr:spPr>
        <a:xfrm>
          <a:off x="3222625" y="5076825"/>
          <a:ext cx="15430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B5C64E9-63F5-4452-8FB5-D47FBE4BC8E4}" type="TxLink">
            <a:rPr lang="en-US" sz="1800" b="0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▼</a:t>
          </a:fld>
          <a:endParaRPr lang="en-US" sz="18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7</xdr:col>
      <xdr:colOff>390525</xdr:colOff>
      <xdr:row>23</xdr:row>
      <xdr:rowOff>161925</xdr:rowOff>
    </xdr:from>
    <xdr:to>
      <xdr:col>9</xdr:col>
      <xdr:colOff>219075</xdr:colOff>
      <xdr:row>29</xdr:row>
      <xdr:rowOff>85725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D7CFE95F-6AD2-459D-B954-E4BEBE3C4033}"/>
            </a:ext>
          </a:extLst>
        </xdr:cNvPr>
        <xdr:cNvSpPr/>
      </xdr:nvSpPr>
      <xdr:spPr>
        <a:xfrm>
          <a:off x="4657725" y="4543425"/>
          <a:ext cx="1047750" cy="1066800"/>
        </a:xfrm>
        <a:prstGeom prst="roundRect">
          <a:avLst>
            <a:gd name="adj" fmla="val 4849"/>
          </a:avLst>
        </a:prstGeom>
        <a:gradFill flip="none" rotWithShape="1">
          <a:gsLst>
            <a:gs pos="2000">
              <a:schemeClr val="bg1">
                <a:lumMod val="65000"/>
              </a:schemeClr>
            </a:gs>
            <a:gs pos="72000">
              <a:srgbClr val="272727"/>
            </a:gs>
            <a:gs pos="37000">
              <a:schemeClr val="tx1">
                <a:lumMod val="65000"/>
                <a:lumOff val="35000"/>
              </a:schemeClr>
            </a:gs>
            <a:gs pos="95000">
              <a:srgbClr val="0D0D0D"/>
            </a:gs>
          </a:gsLst>
          <a:lin ang="540000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85725</xdr:colOff>
      <xdr:row>23</xdr:row>
      <xdr:rowOff>0</xdr:rowOff>
    </xdr:from>
    <xdr:to>
      <xdr:col>8</xdr:col>
      <xdr:colOff>514351</xdr:colOff>
      <xdr:row>25</xdr:row>
      <xdr:rowOff>47626</xdr:rowOff>
    </xdr:to>
    <xdr:sp macro="" textlink="">
      <xdr:nvSpPr>
        <xdr:cNvPr id="53" name="Oval 52">
          <a:extLst>
            <a:ext uri="{FF2B5EF4-FFF2-40B4-BE49-F238E27FC236}">
              <a16:creationId xmlns:a16="http://schemas.microsoft.com/office/drawing/2014/main" id="{3E6AF93A-75BC-4C9E-BB7C-9B3905FB975E}"/>
            </a:ext>
          </a:extLst>
        </xdr:cNvPr>
        <xdr:cNvSpPr/>
      </xdr:nvSpPr>
      <xdr:spPr>
        <a:xfrm>
          <a:off x="4962525" y="4381500"/>
          <a:ext cx="428626" cy="428626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304799</xdr:colOff>
      <xdr:row>24</xdr:row>
      <xdr:rowOff>180974</xdr:rowOff>
    </xdr:from>
    <xdr:to>
      <xdr:col>9</xdr:col>
      <xdr:colOff>342900</xdr:colOff>
      <xdr:row>29</xdr:row>
      <xdr:rowOff>66675</xdr:rowOff>
    </xdr:to>
    <xdr:sp macro="" textlink="Sheet!M21">
      <xdr:nvSpPr>
        <xdr:cNvPr id="54" name="Rectangle: Rounded Corners 53">
          <a:extLst>
            <a:ext uri="{FF2B5EF4-FFF2-40B4-BE49-F238E27FC236}">
              <a16:creationId xmlns:a16="http://schemas.microsoft.com/office/drawing/2014/main" id="{404B4ADC-7119-425B-91CC-DBC7C93DCB92}"/>
            </a:ext>
          </a:extLst>
        </xdr:cNvPr>
        <xdr:cNvSpPr/>
      </xdr:nvSpPr>
      <xdr:spPr>
        <a:xfrm>
          <a:off x="4571999" y="4752974"/>
          <a:ext cx="1257301" cy="83820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A049FB6-04D8-40DF-B56C-1F4AF4450C65}" type="TxLink">
            <a:rPr lang="en-US" sz="1100" b="0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YoY change suggests room for Improvement</a:t>
          </a:fld>
          <a:endParaRPr lang="en-US" sz="12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142876</xdr:colOff>
      <xdr:row>23</xdr:row>
      <xdr:rowOff>47626</xdr:rowOff>
    </xdr:from>
    <xdr:to>
      <xdr:col>8</xdr:col>
      <xdr:colOff>447676</xdr:colOff>
      <xdr:row>24</xdr:row>
      <xdr:rowOff>161926</xdr:rowOff>
    </xdr:to>
    <xdr:pic>
      <xdr:nvPicPr>
        <xdr:cNvPr id="56" name="Graphic 55" descr="Lightbulb with solid fill">
          <a:extLst>
            <a:ext uri="{FF2B5EF4-FFF2-40B4-BE49-F238E27FC236}">
              <a16:creationId xmlns:a16="http://schemas.microsoft.com/office/drawing/2014/main" id="{7A6214B9-AE47-4977-BA47-99A946EC7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019676" y="4429126"/>
          <a:ext cx="304800" cy="304800"/>
        </a:xfrm>
        <a:prstGeom prst="rect">
          <a:avLst/>
        </a:prstGeom>
      </xdr:spPr>
    </xdr:pic>
    <xdr:clientData/>
  </xdr:twoCellAnchor>
  <xdr:twoCellAnchor>
    <xdr:from>
      <xdr:col>10</xdr:col>
      <xdr:colOff>26670</xdr:colOff>
      <xdr:row>8</xdr:row>
      <xdr:rowOff>114300</xdr:rowOff>
    </xdr:from>
    <xdr:to>
      <xdr:col>14</xdr:col>
      <xdr:colOff>419100</xdr:colOff>
      <xdr:row>29</xdr:row>
      <xdr:rowOff>165735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E7AE91CA-497C-4E5D-89E7-7FFE7CDFA0A1}"/>
            </a:ext>
          </a:extLst>
        </xdr:cNvPr>
        <xdr:cNvGrpSpPr/>
      </xdr:nvGrpSpPr>
      <xdr:grpSpPr>
        <a:xfrm>
          <a:off x="6275070" y="1577340"/>
          <a:ext cx="2891790" cy="3891915"/>
          <a:chOff x="1022192" y="1619249"/>
          <a:chExt cx="4759483" cy="2523768"/>
        </a:xfrm>
      </xdr:grpSpPr>
      <xdr:sp macro="" textlink="">
        <xdr:nvSpPr>
          <xdr:cNvPr id="58" name="Rectangle: Rounded Corners 57">
            <a:extLst>
              <a:ext uri="{FF2B5EF4-FFF2-40B4-BE49-F238E27FC236}">
                <a16:creationId xmlns:a16="http://schemas.microsoft.com/office/drawing/2014/main" id="{3FDC214A-CB50-4CC7-90A7-E6B44466B95E}"/>
              </a:ext>
            </a:extLst>
          </xdr:cNvPr>
          <xdr:cNvSpPr/>
        </xdr:nvSpPr>
        <xdr:spPr>
          <a:xfrm>
            <a:off x="1028701" y="1619249"/>
            <a:ext cx="4752974" cy="2514601"/>
          </a:xfrm>
          <a:prstGeom prst="roundRect">
            <a:avLst>
              <a:gd name="adj" fmla="val 4987"/>
            </a:avLst>
          </a:prstGeom>
          <a:solidFill>
            <a:schemeClr val="bg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Rectangle: Rounded Corners 58">
            <a:extLst>
              <a:ext uri="{FF2B5EF4-FFF2-40B4-BE49-F238E27FC236}">
                <a16:creationId xmlns:a16="http://schemas.microsoft.com/office/drawing/2014/main" id="{A2FB798C-CB34-4D08-A628-8E43098F13B9}"/>
              </a:ext>
            </a:extLst>
          </xdr:cNvPr>
          <xdr:cNvSpPr/>
        </xdr:nvSpPr>
        <xdr:spPr>
          <a:xfrm>
            <a:off x="1022192" y="1628416"/>
            <a:ext cx="4752975" cy="2514601"/>
          </a:xfrm>
          <a:prstGeom prst="roundRect">
            <a:avLst>
              <a:gd name="adj" fmla="val 4987"/>
            </a:avLst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10</xdr:col>
      <xdr:colOff>104775</xdr:colOff>
      <xdr:row>20</xdr:row>
      <xdr:rowOff>104776</xdr:rowOff>
    </xdr:from>
    <xdr:to>
      <xdr:col>14</xdr:col>
      <xdr:colOff>361950</xdr:colOff>
      <xdr:row>29</xdr:row>
      <xdr:rowOff>171450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31C317D4-DD4A-40C0-BB91-6470020CCC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161225</xdr:colOff>
      <xdr:row>19</xdr:row>
      <xdr:rowOff>123825</xdr:rowOff>
    </xdr:from>
    <xdr:to>
      <xdr:col>14</xdr:col>
      <xdr:colOff>438151</xdr:colOff>
      <xdr:row>23</xdr:row>
      <xdr:rowOff>47624</xdr:rowOff>
    </xdr:to>
    <xdr:sp macro="" textlink="Sheet!U15">
      <xdr:nvSpPr>
        <xdr:cNvPr id="61" name="Rectangle: Rounded Corners 60">
          <a:extLst>
            <a:ext uri="{FF2B5EF4-FFF2-40B4-BE49-F238E27FC236}">
              <a16:creationId xmlns:a16="http://schemas.microsoft.com/office/drawing/2014/main" id="{32E8078A-BB9A-4DB3-BC85-0550E67A832A}"/>
            </a:ext>
          </a:extLst>
        </xdr:cNvPr>
        <xdr:cNvSpPr/>
      </xdr:nvSpPr>
      <xdr:spPr>
        <a:xfrm>
          <a:off x="6257225" y="3743325"/>
          <a:ext cx="2715326" cy="685799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1A4A647-0F43-4107-A9C1-D4627C394DC4}" type="TxLink">
            <a:rPr lang="en-US" sz="900" b="0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Focus on Highlighted Weekdays: they exceeded the 941 passengers average and account for 49.4% of the Total passengers.</a:t>
          </a:fld>
          <a:endParaRPr lang="en-US" sz="900" b="0" i="0" u="none" strike="noStrike">
            <a:solidFill>
              <a:schemeClr val="bg1">
                <a:lumMod val="6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10</xdr:col>
      <xdr:colOff>218622</xdr:colOff>
      <xdr:row>18</xdr:row>
      <xdr:rowOff>57150</xdr:rowOff>
    </xdr:from>
    <xdr:to>
      <xdr:col>14</xdr:col>
      <xdr:colOff>219075</xdr:colOff>
      <xdr:row>20</xdr:row>
      <xdr:rowOff>38100</xdr:rowOff>
    </xdr:to>
    <xdr:sp macro="" textlink="">
      <xdr:nvSpPr>
        <xdr:cNvPr id="62" name="Rectangle: Rounded Corners 61">
          <a:extLst>
            <a:ext uri="{FF2B5EF4-FFF2-40B4-BE49-F238E27FC236}">
              <a16:creationId xmlns:a16="http://schemas.microsoft.com/office/drawing/2014/main" id="{71E7AAFE-E5CB-44F7-9643-45BC34D06F4D}"/>
            </a:ext>
          </a:extLst>
        </xdr:cNvPr>
        <xdr:cNvSpPr/>
      </xdr:nvSpPr>
      <xdr:spPr>
        <a:xfrm>
          <a:off x="6314622" y="3486150"/>
          <a:ext cx="2438853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Riders Weekdays</a:t>
          </a:r>
          <a:r>
            <a:rPr lang="en-US" sz="1050" baseline="0">
              <a:solidFill>
                <a:schemeClr val="bg2">
                  <a:lumMod val="90000"/>
                </a:schemeClr>
              </a:solidFill>
            </a:rPr>
            <a:t> </a:t>
          </a:r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Distribution</a:t>
          </a:r>
          <a:endParaRPr lang="en-US" sz="12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10</xdr:col>
      <xdr:colOff>290390</xdr:colOff>
      <xdr:row>19</xdr:row>
      <xdr:rowOff>0</xdr:rowOff>
    </xdr:from>
    <xdr:to>
      <xdr:col>10</xdr:col>
      <xdr:colOff>428625</xdr:colOff>
      <xdr:row>19</xdr:row>
      <xdr:rowOff>133350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8B0E9E1A-1785-4365-9DD0-5782E1189F3B}"/>
            </a:ext>
          </a:extLst>
        </xdr:cNvPr>
        <xdr:cNvSpPr/>
      </xdr:nvSpPr>
      <xdr:spPr>
        <a:xfrm>
          <a:off x="6386390" y="3619500"/>
          <a:ext cx="138235" cy="133350"/>
        </a:xfrm>
        <a:prstGeom prst="ellipse">
          <a:avLst/>
        </a:prstGeom>
        <a:solidFill>
          <a:srgbClr val="595959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180976</xdr:colOff>
      <xdr:row>11</xdr:row>
      <xdr:rowOff>57151</xdr:rowOff>
    </xdr:from>
    <xdr:to>
      <xdr:col>14</xdr:col>
      <xdr:colOff>361950</xdr:colOff>
      <xdr:row>17</xdr:row>
      <xdr:rowOff>38101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772F3D2A-730F-41AB-B612-FD01E78D1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190501</xdr:colOff>
      <xdr:row>9</xdr:row>
      <xdr:rowOff>9525</xdr:rowOff>
    </xdr:from>
    <xdr:to>
      <xdr:col>14</xdr:col>
      <xdr:colOff>47625</xdr:colOff>
      <xdr:row>10</xdr:row>
      <xdr:rowOff>180975</xdr:rowOff>
    </xdr:to>
    <xdr:sp macro="" textlink="">
      <xdr:nvSpPr>
        <xdr:cNvPr id="65" name="Rectangle: Rounded Corners 64">
          <a:extLst>
            <a:ext uri="{FF2B5EF4-FFF2-40B4-BE49-F238E27FC236}">
              <a16:creationId xmlns:a16="http://schemas.microsoft.com/office/drawing/2014/main" id="{10BB8EE0-6BCE-4CCC-855B-4EB4370CFC0C}"/>
            </a:ext>
          </a:extLst>
        </xdr:cNvPr>
        <xdr:cNvSpPr/>
      </xdr:nvSpPr>
      <xdr:spPr>
        <a:xfrm>
          <a:off x="6286501" y="1724025"/>
          <a:ext cx="2295524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Riders Monthly</a:t>
          </a:r>
          <a:r>
            <a:rPr lang="en-US" sz="1050" baseline="0">
              <a:solidFill>
                <a:schemeClr val="bg2">
                  <a:lumMod val="90000"/>
                </a:schemeClr>
              </a:solidFill>
            </a:rPr>
            <a:t> </a:t>
          </a:r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Distribution</a:t>
          </a:r>
          <a:endParaRPr lang="en-US" sz="12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10</xdr:col>
      <xdr:colOff>257175</xdr:colOff>
      <xdr:row>9</xdr:row>
      <xdr:rowOff>133350</xdr:rowOff>
    </xdr:from>
    <xdr:to>
      <xdr:col>10</xdr:col>
      <xdr:colOff>390525</xdr:colOff>
      <xdr:row>10</xdr:row>
      <xdr:rowOff>76200</xdr:rowOff>
    </xdr:to>
    <xdr:sp macro="" textlink="">
      <xdr:nvSpPr>
        <xdr:cNvPr id="66" name="Oval 65">
          <a:extLst>
            <a:ext uri="{FF2B5EF4-FFF2-40B4-BE49-F238E27FC236}">
              <a16:creationId xmlns:a16="http://schemas.microsoft.com/office/drawing/2014/main" id="{A1F9CCB9-D72B-40B0-8246-F011B7822C3F}"/>
            </a:ext>
          </a:extLst>
        </xdr:cNvPr>
        <xdr:cNvSpPr/>
      </xdr:nvSpPr>
      <xdr:spPr>
        <a:xfrm>
          <a:off x="6353175" y="1847850"/>
          <a:ext cx="133350" cy="133350"/>
        </a:xfrm>
        <a:prstGeom prst="ellipse">
          <a:avLst/>
        </a:prstGeom>
        <a:solidFill>
          <a:srgbClr val="595959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565835</xdr:colOff>
      <xdr:row>2</xdr:row>
      <xdr:rowOff>28575</xdr:rowOff>
    </xdr:from>
    <xdr:to>
      <xdr:col>20</xdr:col>
      <xdr:colOff>358092</xdr:colOff>
      <xdr:row>29</xdr:row>
      <xdr:rowOff>161925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4C53E98B-2B70-437B-A862-97A98FFC4379}"/>
            </a:ext>
          </a:extLst>
        </xdr:cNvPr>
        <xdr:cNvGrpSpPr/>
      </xdr:nvGrpSpPr>
      <xdr:grpSpPr>
        <a:xfrm>
          <a:off x="9313595" y="394335"/>
          <a:ext cx="3541297" cy="5071110"/>
          <a:chOff x="1028701" y="1619249"/>
          <a:chExt cx="4910165" cy="2533651"/>
        </a:xfrm>
      </xdr:grpSpPr>
      <xdr:sp macro="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ABAE9B5E-EC03-42D0-80C8-4BDE10F76F36}"/>
              </a:ext>
            </a:extLst>
          </xdr:cNvPr>
          <xdr:cNvSpPr/>
        </xdr:nvSpPr>
        <xdr:spPr>
          <a:xfrm>
            <a:off x="1028701" y="1619249"/>
            <a:ext cx="4752974" cy="2514601"/>
          </a:xfrm>
          <a:prstGeom prst="roundRect">
            <a:avLst>
              <a:gd name="adj" fmla="val 4987"/>
            </a:avLst>
          </a:prstGeom>
          <a:solidFill>
            <a:schemeClr val="bg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0" name="Rectangle: Rounded Corners 69">
            <a:extLst>
              <a:ext uri="{FF2B5EF4-FFF2-40B4-BE49-F238E27FC236}">
                <a16:creationId xmlns:a16="http://schemas.microsoft.com/office/drawing/2014/main" id="{9E31E48C-BB6E-4283-8962-F041C8334A6B}"/>
              </a:ext>
            </a:extLst>
          </xdr:cNvPr>
          <xdr:cNvSpPr/>
        </xdr:nvSpPr>
        <xdr:spPr>
          <a:xfrm>
            <a:off x="1185891" y="1638299"/>
            <a:ext cx="4752975" cy="2514601"/>
          </a:xfrm>
          <a:prstGeom prst="roundRect">
            <a:avLst>
              <a:gd name="adj" fmla="val 4987"/>
            </a:avLst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279400</xdr:colOff>
      <xdr:row>4</xdr:row>
      <xdr:rowOff>161925</xdr:rowOff>
    </xdr:from>
    <xdr:to>
      <xdr:col>11</xdr:col>
      <xdr:colOff>285750</xdr:colOff>
      <xdr:row>6</xdr:row>
      <xdr:rowOff>142875</xdr:rowOff>
    </xdr:to>
    <xdr:sp macro="" textlink="Sheet!B19">
      <xdr:nvSpPr>
        <xdr:cNvPr id="71" name="Rectangle: Rounded Corners 70">
          <a:extLst>
            <a:ext uri="{FF2B5EF4-FFF2-40B4-BE49-F238E27FC236}">
              <a16:creationId xmlns:a16="http://schemas.microsoft.com/office/drawing/2014/main" id="{9B7D485A-9A96-4943-BD6D-78E6F436D6CB}"/>
            </a:ext>
          </a:extLst>
        </xdr:cNvPr>
        <xdr:cNvSpPr/>
      </xdr:nvSpPr>
      <xdr:spPr>
        <a:xfrm>
          <a:off x="5156200" y="923925"/>
          <a:ext cx="18351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F6B40C30-C47B-4BC7-A9AA-92D3C58CE67A}" type="TxLink">
            <a:rPr lang="en-US" sz="16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East-West Express</a:t>
          </a:fld>
          <a:endParaRPr lang="en-US" sz="1600" b="1" i="0" u="none" strike="noStrike">
            <a:solidFill>
              <a:schemeClr val="bg1">
                <a:lumMod val="8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17</xdr:col>
      <xdr:colOff>457200</xdr:colOff>
      <xdr:row>4</xdr:row>
      <xdr:rowOff>76201</xdr:rowOff>
    </xdr:from>
    <xdr:to>
      <xdr:col>20</xdr:col>
      <xdr:colOff>238125</xdr:colOff>
      <xdr:row>10</xdr:row>
      <xdr:rowOff>180977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75C04FCE-999F-4028-A76B-662C1C3F71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257174</xdr:colOff>
      <xdr:row>12</xdr:row>
      <xdr:rowOff>47625</xdr:rowOff>
    </xdr:from>
    <xdr:to>
      <xdr:col>19</xdr:col>
      <xdr:colOff>19050</xdr:colOff>
      <xdr:row>19</xdr:row>
      <xdr:rowOff>1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1D4B38DD-E3D8-4D9D-90F2-89EF684FC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571500</xdr:colOff>
      <xdr:row>4</xdr:row>
      <xdr:rowOff>114300</xdr:rowOff>
    </xdr:from>
    <xdr:to>
      <xdr:col>17</xdr:col>
      <xdr:colOff>342900</xdr:colOff>
      <xdr:row>10</xdr:row>
      <xdr:rowOff>171451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21F19654-B8EF-421E-984E-90B468C1D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371475</xdr:colOff>
      <xdr:row>9</xdr:row>
      <xdr:rowOff>180975</xdr:rowOff>
    </xdr:from>
    <xdr:to>
      <xdr:col>17</xdr:col>
      <xdr:colOff>304801</xdr:colOff>
      <xdr:row>11</xdr:row>
      <xdr:rowOff>161925</xdr:rowOff>
    </xdr:to>
    <xdr:sp macro="" textlink="Sheet!AL13">
      <xdr:nvSpPr>
        <xdr:cNvPr id="74" name="Rectangle: Rounded Corners 73">
          <a:extLst>
            <a:ext uri="{FF2B5EF4-FFF2-40B4-BE49-F238E27FC236}">
              <a16:creationId xmlns:a16="http://schemas.microsoft.com/office/drawing/2014/main" id="{5DD5D5E2-30F1-4EC8-B2A9-99339AA08C99}"/>
            </a:ext>
          </a:extLst>
        </xdr:cNvPr>
        <xdr:cNvSpPr/>
      </xdr:nvSpPr>
      <xdr:spPr>
        <a:xfrm>
          <a:off x="9515475" y="1895475"/>
          <a:ext cx="1152526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7082DF3-3918-4C75-9825-572D06D45868}" type="TxLink">
            <a:rPr lang="en-US" sz="1100" b="0" i="0" u="none" strike="noStrike" baseline="0">
              <a:solidFill>
                <a:srgbClr val="1F56C5"/>
              </a:solidFill>
              <a:latin typeface="Calibri"/>
              <a:cs typeface="Calibri"/>
            </a:rPr>
            <a:pPr algn="ctr"/>
            <a:t>Under-utilised</a:t>
          </a:fld>
          <a:endParaRPr lang="en-US" sz="1200" baseline="0">
            <a:solidFill>
              <a:srgbClr val="1F56C5"/>
            </a:solidFill>
          </a:endParaRPr>
        </a:p>
      </xdr:txBody>
    </xdr:sp>
    <xdr:clientData/>
  </xdr:twoCellAnchor>
  <xdr:twoCellAnchor>
    <xdr:from>
      <xdr:col>18</xdr:col>
      <xdr:colOff>352425</xdr:colOff>
      <xdr:row>10</xdr:row>
      <xdr:rowOff>38100</xdr:rowOff>
    </xdr:from>
    <xdr:to>
      <xdr:col>20</xdr:col>
      <xdr:colOff>152401</xdr:colOff>
      <xdr:row>12</xdr:row>
      <xdr:rowOff>19050</xdr:rowOff>
    </xdr:to>
    <xdr:sp macro="" textlink="Sheet!AL12">
      <xdr:nvSpPr>
        <xdr:cNvPr id="75" name="Rectangle: Rounded Corners 74">
          <a:extLst>
            <a:ext uri="{FF2B5EF4-FFF2-40B4-BE49-F238E27FC236}">
              <a16:creationId xmlns:a16="http://schemas.microsoft.com/office/drawing/2014/main" id="{47508557-63D0-481F-AD8B-994920FE832F}"/>
            </a:ext>
          </a:extLst>
        </xdr:cNvPr>
        <xdr:cNvSpPr/>
      </xdr:nvSpPr>
      <xdr:spPr>
        <a:xfrm>
          <a:off x="11325225" y="1943100"/>
          <a:ext cx="1019176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C582522-D8B3-4ED2-8683-E7BE55976C12}" type="TxLink">
            <a:rPr lang="en-US" sz="1100" b="0" i="0" u="none" strike="noStrike" baseline="0">
              <a:solidFill>
                <a:srgbClr val="68B8B0"/>
              </a:solidFill>
              <a:latin typeface="Calibri"/>
              <a:cs typeface="Calibri"/>
            </a:rPr>
            <a:pPr algn="ctr"/>
            <a:t>Over-utilised</a:t>
          </a:fld>
          <a:endParaRPr lang="en-US" sz="1200" baseline="0">
            <a:solidFill>
              <a:srgbClr val="68B8B0"/>
            </a:solidFill>
          </a:endParaRPr>
        </a:p>
      </xdr:txBody>
    </xdr:sp>
    <xdr:clientData/>
  </xdr:twoCellAnchor>
  <xdr:twoCellAnchor>
    <xdr:from>
      <xdr:col>17</xdr:col>
      <xdr:colOff>28575</xdr:colOff>
      <xdr:row>17</xdr:row>
      <xdr:rowOff>152400</xdr:rowOff>
    </xdr:from>
    <xdr:to>
      <xdr:col>18</xdr:col>
      <xdr:colOff>590551</xdr:colOff>
      <xdr:row>19</xdr:row>
      <xdr:rowOff>133350</xdr:rowOff>
    </xdr:to>
    <xdr:sp macro="" textlink="Sheet!AL14">
      <xdr:nvSpPr>
        <xdr:cNvPr id="76" name="Rectangle: Rounded Corners 75">
          <a:extLst>
            <a:ext uri="{FF2B5EF4-FFF2-40B4-BE49-F238E27FC236}">
              <a16:creationId xmlns:a16="http://schemas.microsoft.com/office/drawing/2014/main" id="{D6D935EA-E9EC-4A38-B18D-5D98BD44878A}"/>
            </a:ext>
          </a:extLst>
        </xdr:cNvPr>
        <xdr:cNvSpPr/>
      </xdr:nvSpPr>
      <xdr:spPr>
        <a:xfrm>
          <a:off x="10391775" y="3390900"/>
          <a:ext cx="1171576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8D931EA-B15E-41B2-9486-9DBF67AFBA8F}" type="TxLink">
            <a:rPr lang="en-US" sz="1100" b="0" i="0" u="none" strike="noStrike" baseline="0">
              <a:solidFill>
                <a:srgbClr val="6489DA"/>
              </a:solidFill>
              <a:latin typeface="Calibri"/>
              <a:cs typeface="Calibri"/>
            </a:rPr>
            <a:pPr algn="ctr"/>
            <a:t>Well-utilised</a:t>
          </a:fld>
          <a:endParaRPr lang="en-US" sz="1200" baseline="0">
            <a:solidFill>
              <a:srgbClr val="6489DA"/>
            </a:solidFill>
          </a:endParaRPr>
        </a:p>
      </xdr:txBody>
    </xdr:sp>
    <xdr:clientData/>
  </xdr:twoCellAnchor>
  <xdr:twoCellAnchor>
    <xdr:from>
      <xdr:col>15</xdr:col>
      <xdr:colOff>361950</xdr:colOff>
      <xdr:row>10</xdr:row>
      <xdr:rowOff>161925</xdr:rowOff>
    </xdr:from>
    <xdr:to>
      <xdr:col>17</xdr:col>
      <xdr:colOff>295276</xdr:colOff>
      <xdr:row>12</xdr:row>
      <xdr:rowOff>142875</xdr:rowOff>
    </xdr:to>
    <xdr:sp macro="" textlink="Sheet!AN7">
      <xdr:nvSpPr>
        <xdr:cNvPr id="77" name="Rectangle: Rounded Corners 76">
          <a:extLst>
            <a:ext uri="{FF2B5EF4-FFF2-40B4-BE49-F238E27FC236}">
              <a16:creationId xmlns:a16="http://schemas.microsoft.com/office/drawing/2014/main" id="{0975CDB7-9FF3-4130-B4F1-0D3522B27B53}"/>
            </a:ext>
          </a:extLst>
        </xdr:cNvPr>
        <xdr:cNvSpPr/>
      </xdr:nvSpPr>
      <xdr:spPr>
        <a:xfrm>
          <a:off x="9505950" y="2066925"/>
          <a:ext cx="1152526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0E9D4F1-36FF-4A27-8018-C018E8A09B25}" type="TxLink">
            <a:rPr lang="en-US" sz="1100" b="0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19 Total Buses </a:t>
          </a:fld>
          <a:endParaRPr lang="en-US" sz="12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18</xdr:col>
      <xdr:colOff>323850</xdr:colOff>
      <xdr:row>11</xdr:row>
      <xdr:rowOff>0</xdr:rowOff>
    </xdr:from>
    <xdr:to>
      <xdr:col>20</xdr:col>
      <xdr:colOff>219076</xdr:colOff>
      <xdr:row>12</xdr:row>
      <xdr:rowOff>171450</xdr:rowOff>
    </xdr:to>
    <xdr:sp macro="" textlink="Sheet!AN6">
      <xdr:nvSpPr>
        <xdr:cNvPr id="78" name="Rectangle: Rounded Corners 77">
          <a:extLst>
            <a:ext uri="{FF2B5EF4-FFF2-40B4-BE49-F238E27FC236}">
              <a16:creationId xmlns:a16="http://schemas.microsoft.com/office/drawing/2014/main" id="{D6B0218F-0BC3-4456-A50C-6F99097E338B}"/>
            </a:ext>
          </a:extLst>
        </xdr:cNvPr>
        <xdr:cNvSpPr/>
      </xdr:nvSpPr>
      <xdr:spPr>
        <a:xfrm>
          <a:off x="11296650" y="2095500"/>
          <a:ext cx="1114426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9D2CDD3-7C96-4F4F-9373-BCD509319598}" type="TxLink">
            <a:rPr lang="en-US" sz="1100" b="0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27 Total Buses </a:t>
          </a:fld>
          <a:endParaRPr lang="en-US" sz="12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16</xdr:col>
      <xdr:colOff>523875</xdr:colOff>
      <xdr:row>18</xdr:row>
      <xdr:rowOff>142875</xdr:rowOff>
    </xdr:from>
    <xdr:to>
      <xdr:col>19</xdr:col>
      <xdr:colOff>104775</xdr:colOff>
      <xdr:row>20</xdr:row>
      <xdr:rowOff>123825</xdr:rowOff>
    </xdr:to>
    <xdr:sp macro="" textlink="Sheet!AN8">
      <xdr:nvSpPr>
        <xdr:cNvPr id="79" name="Rectangle: Rounded Corners 78">
          <a:extLst>
            <a:ext uri="{FF2B5EF4-FFF2-40B4-BE49-F238E27FC236}">
              <a16:creationId xmlns:a16="http://schemas.microsoft.com/office/drawing/2014/main" id="{23E13E5D-B431-4383-A9CB-029F7F8F9C52}"/>
            </a:ext>
          </a:extLst>
        </xdr:cNvPr>
        <xdr:cNvSpPr/>
      </xdr:nvSpPr>
      <xdr:spPr>
        <a:xfrm>
          <a:off x="10277475" y="3571875"/>
          <a:ext cx="140970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5D209B5-A6CE-47D2-9967-964B50BE9FDC}" type="TxLink">
            <a:rPr lang="en-US" sz="1100" b="0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36 Total Buses </a:t>
          </a:fld>
          <a:endParaRPr lang="en-US" sz="12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15</xdr:col>
      <xdr:colOff>238125</xdr:colOff>
      <xdr:row>3</xdr:row>
      <xdr:rowOff>19050</xdr:rowOff>
    </xdr:from>
    <xdr:to>
      <xdr:col>18</xdr:col>
      <xdr:colOff>200025</xdr:colOff>
      <xdr:row>5</xdr:row>
      <xdr:rowOff>0</xdr:rowOff>
    </xdr:to>
    <xdr:sp macro="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CA7AC79-5F09-4E2B-8689-C2DD8BF17A71}"/>
            </a:ext>
          </a:extLst>
        </xdr:cNvPr>
        <xdr:cNvSpPr/>
      </xdr:nvSpPr>
      <xdr:spPr>
        <a:xfrm>
          <a:off x="9382125" y="590550"/>
          <a:ext cx="179070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Buses Utilization Rides</a:t>
          </a:r>
          <a:endParaRPr lang="en-US" sz="12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15</xdr:col>
      <xdr:colOff>161925</xdr:colOff>
      <xdr:row>3</xdr:row>
      <xdr:rowOff>142875</xdr:rowOff>
    </xdr:from>
    <xdr:to>
      <xdr:col>15</xdr:col>
      <xdr:colOff>295275</xdr:colOff>
      <xdr:row>4</xdr:row>
      <xdr:rowOff>85725</xdr:rowOff>
    </xdr:to>
    <xdr:sp macro="" textlink="">
      <xdr:nvSpPr>
        <xdr:cNvPr id="81" name="Oval 80">
          <a:extLst>
            <a:ext uri="{FF2B5EF4-FFF2-40B4-BE49-F238E27FC236}">
              <a16:creationId xmlns:a16="http://schemas.microsoft.com/office/drawing/2014/main" id="{72C4791D-AB24-4DD0-BDD5-9CCB354BED4A}"/>
            </a:ext>
          </a:extLst>
        </xdr:cNvPr>
        <xdr:cNvSpPr/>
      </xdr:nvSpPr>
      <xdr:spPr>
        <a:xfrm>
          <a:off x="9305925" y="714375"/>
          <a:ext cx="133350" cy="133350"/>
        </a:xfrm>
        <a:prstGeom prst="ellipse">
          <a:avLst/>
        </a:prstGeom>
        <a:solidFill>
          <a:srgbClr val="595959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19051</xdr:colOff>
      <xdr:row>17</xdr:row>
      <xdr:rowOff>125730</xdr:rowOff>
    </xdr:from>
    <xdr:to>
      <xdr:col>14</xdr:col>
      <xdr:colOff>400051</xdr:colOff>
      <xdr:row>17</xdr:row>
      <xdr:rowOff>171449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41C6CF35-8FA9-47C4-97CA-103D5AA15DE6}"/>
            </a:ext>
          </a:extLst>
        </xdr:cNvPr>
        <xdr:cNvSpPr/>
      </xdr:nvSpPr>
      <xdr:spPr>
        <a:xfrm flipV="1">
          <a:off x="6115051" y="3364230"/>
          <a:ext cx="2819400" cy="45719"/>
        </a:xfrm>
        <a:prstGeom prst="rect">
          <a:avLst/>
        </a:prstGeom>
        <a:gradFill>
          <a:gsLst>
            <a:gs pos="0">
              <a:srgbClr val="0D0D0D"/>
            </a:gs>
            <a:gs pos="100000">
              <a:srgbClr val="0D0D0D"/>
            </a:gs>
            <a:gs pos="48000">
              <a:srgbClr val="8C8C8C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295276</xdr:colOff>
      <xdr:row>20</xdr:row>
      <xdr:rowOff>154305</xdr:rowOff>
    </xdr:from>
    <xdr:to>
      <xdr:col>20</xdr:col>
      <xdr:colOff>66676</xdr:colOff>
      <xdr:row>21</xdr:row>
      <xdr:rowOff>9524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63F86C7E-E9C9-48E5-B256-D2125AC39190}"/>
            </a:ext>
          </a:extLst>
        </xdr:cNvPr>
        <xdr:cNvSpPr/>
      </xdr:nvSpPr>
      <xdr:spPr>
        <a:xfrm flipV="1">
          <a:off x="9439276" y="3964305"/>
          <a:ext cx="2819400" cy="45719"/>
        </a:xfrm>
        <a:prstGeom prst="rect">
          <a:avLst/>
        </a:prstGeom>
        <a:gradFill>
          <a:gsLst>
            <a:gs pos="0">
              <a:srgbClr val="0D0D0D"/>
            </a:gs>
            <a:gs pos="100000">
              <a:srgbClr val="0D0D0D"/>
            </a:gs>
            <a:gs pos="48000">
              <a:srgbClr val="8C8C8C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200024</xdr:colOff>
      <xdr:row>21</xdr:row>
      <xdr:rowOff>47625</xdr:rowOff>
    </xdr:from>
    <xdr:to>
      <xdr:col>19</xdr:col>
      <xdr:colOff>609599</xdr:colOff>
      <xdr:row>23</xdr:row>
      <xdr:rowOff>28575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D182BCFF-FADE-4F82-AD00-269751131F4C}"/>
            </a:ext>
          </a:extLst>
        </xdr:cNvPr>
        <xdr:cNvSpPr/>
      </xdr:nvSpPr>
      <xdr:spPr>
        <a:xfrm>
          <a:off x="9344024" y="4048125"/>
          <a:ext cx="2847975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Total Riders Based On Moment of Trip</a:t>
          </a:r>
          <a:endParaRPr lang="en-US" sz="12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>
    <xdr:from>
      <xdr:col>15</xdr:col>
      <xdr:colOff>190500</xdr:colOff>
      <xdr:row>22</xdr:row>
      <xdr:rowOff>9525</xdr:rowOff>
    </xdr:from>
    <xdr:to>
      <xdr:col>15</xdr:col>
      <xdr:colOff>323850</xdr:colOff>
      <xdr:row>22</xdr:row>
      <xdr:rowOff>142875</xdr:rowOff>
    </xdr:to>
    <xdr:sp macro="" textlink="">
      <xdr:nvSpPr>
        <xdr:cNvPr id="85" name="Oval 84">
          <a:extLst>
            <a:ext uri="{FF2B5EF4-FFF2-40B4-BE49-F238E27FC236}">
              <a16:creationId xmlns:a16="http://schemas.microsoft.com/office/drawing/2014/main" id="{6F2B7931-C973-4977-A955-105C17071FED}"/>
            </a:ext>
          </a:extLst>
        </xdr:cNvPr>
        <xdr:cNvSpPr/>
      </xdr:nvSpPr>
      <xdr:spPr>
        <a:xfrm>
          <a:off x="9334500" y="4200525"/>
          <a:ext cx="133350" cy="133350"/>
        </a:xfrm>
        <a:prstGeom prst="ellipse">
          <a:avLst/>
        </a:prstGeom>
        <a:solidFill>
          <a:srgbClr val="595959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409575</xdr:colOff>
      <xdr:row>23</xdr:row>
      <xdr:rowOff>95250</xdr:rowOff>
    </xdr:from>
    <xdr:to>
      <xdr:col>16</xdr:col>
      <xdr:colOff>209550</xdr:colOff>
      <xdr:row>25</xdr:row>
      <xdr:rowOff>114300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842C8916-F83B-490C-B8CF-B9CB48C34F71}"/>
            </a:ext>
          </a:extLst>
        </xdr:cNvPr>
        <xdr:cNvSpPr/>
      </xdr:nvSpPr>
      <xdr:spPr>
        <a:xfrm>
          <a:off x="9553575" y="4476750"/>
          <a:ext cx="409575" cy="400050"/>
        </a:xfrm>
        <a:prstGeom prst="roundRect">
          <a:avLst>
            <a:gd name="adj" fmla="val 1190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419100</xdr:colOff>
      <xdr:row>26</xdr:row>
      <xdr:rowOff>95250</xdr:rowOff>
    </xdr:from>
    <xdr:to>
      <xdr:col>16</xdr:col>
      <xdr:colOff>219075</xdr:colOff>
      <xdr:row>28</xdr:row>
      <xdr:rowOff>114300</xdr:rowOff>
    </xdr:to>
    <xdr:sp macro="" textlink="">
      <xdr:nvSpPr>
        <xdr:cNvPr id="87" name="Rectangle: Rounded Corners 86">
          <a:extLst>
            <a:ext uri="{FF2B5EF4-FFF2-40B4-BE49-F238E27FC236}">
              <a16:creationId xmlns:a16="http://schemas.microsoft.com/office/drawing/2014/main" id="{876F2450-EAAC-44AE-879D-A8A5AE7EBF66}"/>
            </a:ext>
          </a:extLst>
        </xdr:cNvPr>
        <xdr:cNvSpPr/>
      </xdr:nvSpPr>
      <xdr:spPr>
        <a:xfrm>
          <a:off x="9563100" y="5048250"/>
          <a:ext cx="409575" cy="400050"/>
        </a:xfrm>
        <a:prstGeom prst="roundRect">
          <a:avLst>
            <a:gd name="adj" fmla="val 11905"/>
          </a:avLst>
        </a:prstGeom>
        <a:solidFill>
          <a:srgbClr val="68B8B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447676</xdr:colOff>
      <xdr:row>23</xdr:row>
      <xdr:rowOff>151790</xdr:rowOff>
    </xdr:from>
    <xdr:to>
      <xdr:col>16</xdr:col>
      <xdr:colOff>133962</xdr:colOff>
      <xdr:row>25</xdr:row>
      <xdr:rowOff>66676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A0C747C2-61EC-4186-9BED-56F1ECF9C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91676" y="4533290"/>
          <a:ext cx="295886" cy="295886"/>
        </a:xfrm>
        <a:prstGeom prst="rect">
          <a:avLst/>
        </a:prstGeom>
      </xdr:spPr>
    </xdr:pic>
    <xdr:clientData/>
  </xdr:twoCellAnchor>
  <xdr:twoCellAnchor editAs="oneCell">
    <xdr:from>
      <xdr:col>15</xdr:col>
      <xdr:colOff>502425</xdr:colOff>
      <xdr:row>27</xdr:row>
      <xdr:rowOff>9905</xdr:rowOff>
    </xdr:from>
    <xdr:to>
      <xdr:col>16</xdr:col>
      <xdr:colOff>121045</xdr:colOff>
      <xdr:row>28</xdr:row>
      <xdr:rowOff>47625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A585B4EB-3262-4F0C-9609-FC99C52C4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6425" y="5153405"/>
          <a:ext cx="228220" cy="228220"/>
        </a:xfrm>
        <a:prstGeom prst="rect">
          <a:avLst/>
        </a:prstGeom>
      </xdr:spPr>
    </xdr:pic>
    <xdr:clientData/>
  </xdr:twoCellAnchor>
  <xdr:twoCellAnchor>
    <xdr:from>
      <xdr:col>16</xdr:col>
      <xdr:colOff>107950</xdr:colOff>
      <xdr:row>22</xdr:row>
      <xdr:rowOff>180975</xdr:rowOff>
    </xdr:from>
    <xdr:to>
      <xdr:col>18</xdr:col>
      <xdr:colOff>533400</xdr:colOff>
      <xdr:row>24</xdr:row>
      <xdr:rowOff>161925</xdr:rowOff>
    </xdr:to>
    <xdr:sp macro="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D4957638-A21A-4BED-BB9F-69AB8B6B4EED}"/>
            </a:ext>
          </a:extLst>
        </xdr:cNvPr>
        <xdr:cNvSpPr/>
      </xdr:nvSpPr>
      <xdr:spPr>
        <a:xfrm>
          <a:off x="9861550" y="4371975"/>
          <a:ext cx="16446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2">
                  <a:lumMod val="90000"/>
                </a:schemeClr>
              </a:solidFill>
            </a:rPr>
            <a:t>Total</a:t>
          </a:r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 Riders By </a:t>
          </a:r>
          <a:r>
            <a:rPr lang="en-US" sz="1200" baseline="0">
              <a:solidFill>
                <a:srgbClr val="1F56C5"/>
              </a:solidFill>
            </a:rPr>
            <a:t>AM</a:t>
          </a:r>
          <a:endParaRPr lang="en-US" sz="1200">
            <a:solidFill>
              <a:srgbClr val="1F56C5"/>
            </a:solidFill>
          </a:endParaRPr>
        </a:p>
      </xdr:txBody>
    </xdr:sp>
    <xdr:clientData/>
  </xdr:twoCellAnchor>
  <xdr:twoCellAnchor>
    <xdr:from>
      <xdr:col>16</xdr:col>
      <xdr:colOff>107950</xdr:colOff>
      <xdr:row>26</xdr:row>
      <xdr:rowOff>9525</xdr:rowOff>
    </xdr:from>
    <xdr:to>
      <xdr:col>18</xdr:col>
      <xdr:colOff>533400</xdr:colOff>
      <xdr:row>27</xdr:row>
      <xdr:rowOff>180975</xdr:rowOff>
    </xdr:to>
    <xdr:sp macro="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53CFEB6A-1C86-49FC-BD72-0ABF57D87B89}"/>
            </a:ext>
          </a:extLst>
        </xdr:cNvPr>
        <xdr:cNvSpPr/>
      </xdr:nvSpPr>
      <xdr:spPr>
        <a:xfrm>
          <a:off x="9861550" y="4962525"/>
          <a:ext cx="16446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2">
                  <a:lumMod val="90000"/>
                </a:schemeClr>
              </a:solidFill>
            </a:rPr>
            <a:t>Total</a:t>
          </a:r>
          <a:r>
            <a:rPr lang="en-US" sz="1200" baseline="0">
              <a:solidFill>
                <a:schemeClr val="bg2">
                  <a:lumMod val="90000"/>
                </a:schemeClr>
              </a:solidFill>
            </a:rPr>
            <a:t> Riders By </a:t>
          </a:r>
          <a:r>
            <a:rPr lang="en-US" sz="1200" baseline="0">
              <a:solidFill>
                <a:srgbClr val="68B8B0"/>
              </a:solidFill>
            </a:rPr>
            <a:t>PM</a:t>
          </a:r>
        </a:p>
      </xdr:txBody>
    </xdr:sp>
    <xdr:clientData/>
  </xdr:twoCellAnchor>
  <xdr:twoCellAnchor>
    <xdr:from>
      <xdr:col>16</xdr:col>
      <xdr:colOff>203200</xdr:colOff>
      <xdr:row>27</xdr:row>
      <xdr:rowOff>19050</xdr:rowOff>
    </xdr:from>
    <xdr:to>
      <xdr:col>17</xdr:col>
      <xdr:colOff>323850</xdr:colOff>
      <xdr:row>29</xdr:row>
      <xdr:rowOff>0</xdr:rowOff>
    </xdr:to>
    <xdr:sp macro="" textlink="Sheet!AT6">
      <xdr:nvSpPr>
        <xdr:cNvPr id="92" name="Rectangle: Rounded Corners 91">
          <a:extLst>
            <a:ext uri="{FF2B5EF4-FFF2-40B4-BE49-F238E27FC236}">
              <a16:creationId xmlns:a16="http://schemas.microsoft.com/office/drawing/2014/main" id="{1C8D48DF-94F1-4C02-B44C-BDA6A129667F}"/>
            </a:ext>
          </a:extLst>
        </xdr:cNvPr>
        <xdr:cNvSpPr/>
      </xdr:nvSpPr>
      <xdr:spPr>
        <a:xfrm>
          <a:off x="9956800" y="5162550"/>
          <a:ext cx="7302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F1D8E1-5880-4A6C-A5DE-8EFA097FE334}" type="TxLink">
            <a:rPr lang="en-US" sz="1100" b="0" i="0" u="none" strike="noStrike" baseline="0">
              <a:solidFill>
                <a:srgbClr val="68B8B0"/>
              </a:solidFill>
              <a:latin typeface="Calibri"/>
              <a:cs typeface="Calibri"/>
            </a:rPr>
            <a:pPr algn="ctr"/>
            <a:t>64.61%</a:t>
          </a:fld>
          <a:endParaRPr lang="en-US" sz="1200" baseline="0">
            <a:solidFill>
              <a:srgbClr val="68B8B0"/>
            </a:solidFill>
          </a:endParaRPr>
        </a:p>
      </xdr:txBody>
    </xdr:sp>
    <xdr:clientData/>
  </xdr:twoCellAnchor>
  <xdr:twoCellAnchor>
    <xdr:from>
      <xdr:col>16</xdr:col>
      <xdr:colOff>203200</xdr:colOff>
      <xdr:row>24</xdr:row>
      <xdr:rowOff>19050</xdr:rowOff>
    </xdr:from>
    <xdr:to>
      <xdr:col>17</xdr:col>
      <xdr:colOff>285750</xdr:colOff>
      <xdr:row>26</xdr:row>
      <xdr:rowOff>0</xdr:rowOff>
    </xdr:to>
    <xdr:sp macro="" textlink="Sheet!AT5">
      <xdr:nvSpPr>
        <xdr:cNvPr id="93" name="Rectangle: Rounded Corners 92">
          <a:extLst>
            <a:ext uri="{FF2B5EF4-FFF2-40B4-BE49-F238E27FC236}">
              <a16:creationId xmlns:a16="http://schemas.microsoft.com/office/drawing/2014/main" id="{D64818BE-31C8-4F6E-AD96-9D30E0B464D6}"/>
            </a:ext>
          </a:extLst>
        </xdr:cNvPr>
        <xdr:cNvSpPr/>
      </xdr:nvSpPr>
      <xdr:spPr>
        <a:xfrm>
          <a:off x="9956800" y="4591050"/>
          <a:ext cx="692150" cy="3619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469838-E51D-4CC4-BFDB-323C4D8A4DFD}" type="TxLink">
            <a:rPr lang="en-US" sz="1100" b="0" i="0" u="none" strike="noStrike" baseline="0">
              <a:solidFill>
                <a:srgbClr val="1F56C5"/>
              </a:solidFill>
              <a:latin typeface="Calibri"/>
              <a:cs typeface="Calibri"/>
            </a:rPr>
            <a:pPr algn="ctr"/>
            <a:t>35.39%</a:t>
          </a:fld>
          <a:endParaRPr lang="en-US" sz="1200" baseline="0">
            <a:solidFill>
              <a:srgbClr val="1F56C5"/>
            </a:solidFill>
          </a:endParaRPr>
        </a:p>
      </xdr:txBody>
    </xdr:sp>
    <xdr:clientData/>
  </xdr:twoCellAnchor>
  <xdr:twoCellAnchor>
    <xdr:from>
      <xdr:col>4</xdr:col>
      <xdr:colOff>411480</xdr:colOff>
      <xdr:row>0</xdr:row>
      <xdr:rowOff>121920</xdr:rowOff>
    </xdr:from>
    <xdr:to>
      <xdr:col>9</xdr:col>
      <xdr:colOff>304800</xdr:colOff>
      <xdr:row>2</xdr:row>
      <xdr:rowOff>68580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92B67A58-8C10-B169-9C66-A0C6A78AE474}"/>
            </a:ext>
          </a:extLst>
        </xdr:cNvPr>
        <xdr:cNvSpPr/>
      </xdr:nvSpPr>
      <xdr:spPr>
        <a:xfrm>
          <a:off x="2910840" y="121920"/>
          <a:ext cx="3017520" cy="31242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0.36886</cdr:x>
      <cdr:y>0.35761</cdr:y>
    </cdr:from>
    <cdr:to>
      <cdr:x>0.7921</cdr:x>
      <cdr:y>0.63233</cdr:y>
    </cdr:to>
    <cdr:sp macro="" textlink="Sheet!$AM$1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48D0585-33CC-4625-9D3F-8C8077A3D65C}"/>
            </a:ext>
          </a:extLst>
        </cdr:cNvPr>
        <cdr:cNvSpPr txBox="1"/>
      </cdr:nvSpPr>
      <cdr:spPr>
        <a:xfrm xmlns:a="http://schemas.openxmlformats.org/drawingml/2006/main">
          <a:off x="593771" y="446217"/>
          <a:ext cx="681300" cy="3427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0E02A6A-8BBF-48CD-B32E-A9EA68C06D49}" type="TxLink">
            <a:rPr lang="en-US" sz="1400" b="1" i="0" u="none" strike="noStrike">
              <a:solidFill>
                <a:srgbClr val="68B8B0"/>
              </a:solidFill>
              <a:latin typeface="Calibri"/>
              <a:cs typeface="Calibri"/>
            </a:rPr>
            <a:pPr/>
            <a:t>32.93%</a:t>
          </a:fld>
          <a:endParaRPr lang="en-US" sz="1400" b="1">
            <a:solidFill>
              <a:srgbClr val="68B8B0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0.3444</cdr:x>
      <cdr:y>0.35761</cdr:y>
    </cdr:from>
    <cdr:to>
      <cdr:x>0.84431</cdr:x>
      <cdr:y>0.63233</cdr:y>
    </cdr:to>
    <cdr:sp macro="" textlink="Sheet!$AM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48D0585-33CC-4625-9D3F-8C8077A3D65C}"/>
            </a:ext>
          </a:extLst>
        </cdr:cNvPr>
        <cdr:cNvSpPr txBox="1"/>
      </cdr:nvSpPr>
      <cdr:spPr>
        <a:xfrm xmlns:a="http://schemas.openxmlformats.org/drawingml/2006/main">
          <a:off x="547822" y="459842"/>
          <a:ext cx="795204" cy="35325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horzOverflow="clip" rtlCol="0" anchor="ctr"/>
        <a:lstStyle xmlns:a="http://schemas.openxmlformats.org/drawingml/2006/main"/>
        <a:p xmlns:a="http://schemas.openxmlformats.org/drawingml/2006/main">
          <a:pPr marL="0" indent="0" algn="ctr"/>
          <a:fld id="{6DB4B49E-6061-4D97-9D49-8AC58D860401}" type="TxLink">
            <a:rPr lang="en-US" sz="1400" b="1" i="0" u="none" strike="noStrike">
              <a:solidFill>
                <a:schemeClr val="accent5"/>
              </a:solidFill>
              <a:latin typeface="Calibri"/>
              <a:ea typeface="+mn-ea"/>
              <a:cs typeface="Calibri"/>
            </a:rPr>
            <a:pPr marL="0" indent="0" algn="ctr"/>
            <a:t>43.90%</a:t>
          </a:fld>
          <a:endParaRPr lang="en-US" sz="1400" b="1" i="0" u="none" strike="noStrike">
            <a:solidFill>
              <a:schemeClr val="accent5"/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0.34775</cdr:x>
      <cdr:y>0.3412</cdr:y>
    </cdr:from>
    <cdr:to>
      <cdr:x>0.81786</cdr:x>
      <cdr:y>0.61592</cdr:y>
    </cdr:to>
    <cdr:sp macro="" textlink="Sheet!$AM$1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48D0585-33CC-4625-9D3F-8C8077A3D65C}"/>
            </a:ext>
          </a:extLst>
        </cdr:cNvPr>
        <cdr:cNvSpPr txBox="1"/>
      </cdr:nvSpPr>
      <cdr:spPr>
        <a:xfrm xmlns:a="http://schemas.openxmlformats.org/drawingml/2006/main">
          <a:off x="556472" y="409488"/>
          <a:ext cx="752263" cy="3297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horzOverflow="clip" rtlCol="0" anchor="ctr"/>
        <a:lstStyle xmlns:a="http://schemas.openxmlformats.org/drawingml/2006/main"/>
        <a:p xmlns:a="http://schemas.openxmlformats.org/drawingml/2006/main">
          <a:pPr marL="0" indent="0" algn="ctr"/>
          <a:fld id="{10175760-BAED-488E-8271-16E820DE668A}" type="TxLink">
            <a:rPr lang="en-US" sz="1400" b="1" i="0" u="none" strike="noStrike">
              <a:solidFill>
                <a:srgbClr val="0070C0"/>
              </a:solidFill>
              <a:latin typeface="Calibri"/>
              <a:ea typeface="+mn-ea"/>
              <a:cs typeface="Calibri"/>
            </a:rPr>
            <a:pPr marL="0" indent="0" algn="ctr"/>
            <a:t>23.17%</a:t>
          </a:fld>
          <a:endParaRPr lang="en-US" sz="1400" b="1" i="0" u="none" strike="noStrike">
            <a:solidFill>
              <a:srgbClr val="0070C0"/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576127314816" createdVersion="7" refreshedVersion="7" minRefreshableVersion="3" recordCount="0" supportSubquery="1" supportAdvancedDrill="1" xr:uid="{373CCFAD-0F46-4BC0-A6DC-0D64EE953C26}">
  <cacheSource type="external" connectionId="7"/>
  <cacheFields count="2">
    <cacheField name="[Dim_routes].[RouteName].[RouteName]" caption="RouteName" numFmtId="0" hierarchy="18" level="1">
      <sharedItems count="1">
        <s v="South Line"/>
      </sharedItems>
    </cacheField>
    <cacheField name="[Measures].[TOtal Riders(passenger)]" caption="TOtal Riders(passenger)" numFmtId="0" hierarchy="39" level="32767"/>
  </cacheFields>
  <cacheHierarchies count="50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0" memberValueDatatype="7" unbalanced="0"/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 oneField="1">
      <fieldsUsage count="1">
        <fieldUsage x="1"/>
      </fieldsUsage>
    </cacheHierarchy>
    <cacheHierarchy uniqueName="[Measures].[Avg Rider per Trip]" caption="Avg Rider per Trip" measure="1" displayFolder="" measureGroup="Calculations" count="0"/>
    <cacheHierarchy uniqueName="[Measures].[Total Buses]" caption="Total Buses" measure="1" displayFolder="" measureGroup="Calculations" count="0"/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57589641204" createdVersion="7" refreshedVersion="7" minRefreshableVersion="3" recordCount="0" supportSubquery="1" supportAdvancedDrill="1" xr:uid="{A4367BB7-8504-4668-B46D-523C7284BDF2}">
  <cacheSource type="external" connectionId="7"/>
  <cacheFields count="2">
    <cacheField name="[Dim_routes].[RouteName].[RouteName]" caption="RouteName" numFmtId="0" hierarchy="18" level="1">
      <sharedItems count="1">
        <s v="East-West Express"/>
      </sharedItems>
    </cacheField>
    <cacheField name="[Measures].[TOtal Riders(passenger)]" caption="TOtal Riders(passenger)" numFmtId="0" hierarchy="39" level="32767"/>
  </cacheFields>
  <cacheHierarchies count="50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0" memberValueDatatype="7" unbalanced="0"/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 oneField="1">
      <fieldsUsage count="1">
        <fieldUsage x="1"/>
      </fieldsUsage>
    </cacheHierarchy>
    <cacheHierarchy uniqueName="[Measures].[Avg Rider per Trip]" caption="Avg Rider per Trip" measure="1" displayFolder="" measureGroup="Calculations" count="0"/>
    <cacheHierarchy uniqueName="[Measures].[Total Buses]" caption="Total Buses" measure="1" displayFolder="" measureGroup="Calculations" count="0"/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55146145833" createdVersion="7" refreshedVersion="7" minRefreshableVersion="3" recordCount="0" supportSubquery="1" supportAdvancedDrill="1" xr:uid="{05FB847E-0444-4664-8203-BEA82537B686}">
  <cacheSource type="external" connectionId="7"/>
  <cacheFields count="4">
    <cacheField name="[Dim_routes].[RouteName].[RouteName]" caption="RouteName" numFmtId="0" hierarchy="18" level="1">
      <sharedItems count="1">
        <s v="East-West Express"/>
      </sharedItems>
    </cacheField>
    <cacheField name="[Facttable_ridership].[Time].[Time]" caption="Time" numFmtId="0" hierarchy="27" level="1">
      <sharedItems containsSemiMixedTypes="0" containsNonDate="0" containsDate="1" containsString="0" minDate="1899-12-30T11:41:00" maxDate="1899-12-30T11:41:00" count="1">
        <d v="1899-12-30T11:41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1:41:00]"/>
          </x15:cachedUniqueNames>
        </ext>
      </extLst>
    </cacheField>
    <cacheField name="[Measures].[Total Buses]" caption="Total Buses" numFmtId="0" hierarchy="41" level="32767"/>
    <cacheField name="[Facttable_ridership].[Bus Utilization Category].[Bus Utilization Category]" caption="Bus Utilization Category" numFmtId="0" hierarchy="34" level="1">
      <sharedItems count="3">
        <s v="Over-utilised"/>
        <s v="Under-utilised"/>
        <s v="Well-utilised"/>
      </sharedItems>
    </cacheField>
  </cacheFields>
  <cacheHierarchies count="50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1"/>
      </fieldsUsage>
    </cacheHierarchy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2" memberValueDatatype="130" unbalanced="0">
      <fieldsUsage count="2">
        <fieldUsage x="-1"/>
        <fieldUsage x="3"/>
      </fieldsUsage>
    </cacheHierarchy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/>
    <cacheHierarchy uniqueName="[Measures].[Avg Rider per Trip]" caption="Avg Rider per Trip" measure="1" displayFolder="" measureGroup="Calculations" count="0"/>
    <cacheHierarchy uniqueName="[Measures].[Total Buses]" caption="Total Buses" measure="1" displayFolder="" measureGroup="Calculations" count="0" oneField="1">
      <fieldsUsage count="1">
        <fieldUsage x="2"/>
      </fieldsUsage>
    </cacheHierarchy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505149074073" createdVersion="7" refreshedVersion="7" minRefreshableVersion="3" recordCount="0" supportSubquery="1" supportAdvancedDrill="1" xr:uid="{442B0515-B43D-434B-8A33-2C6350843874}">
  <cacheSource type="external" connectionId="7"/>
  <cacheFields count="4">
    <cacheField name="[Dim_routes].[RouteName].[RouteName]" caption="RouteName" numFmtId="0" hierarchy="18" level="1">
      <sharedItems count="1">
        <s v="East-West Express"/>
      </sharedItems>
    </cacheField>
    <cacheField name="[Measures].[TOtal Riders(passenger)]" caption="TOtal Riders(passenger)" numFmtId="0" hierarchy="39" level="32767"/>
    <cacheField name="[Facttable_ridership].[Time].[Time]" caption="Time" numFmtId="0" hierarchy="27" level="1">
      <sharedItems containsSemiMixedTypes="0" containsNonDate="0" containsDate="1" containsString="0" minDate="1899-12-30T11:41:00" maxDate="1899-12-30T11:41:00" count="1">
        <d v="1899-12-30T11:41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1:41:00]"/>
          </x15:cachedUniqueNames>
        </ext>
      </extLst>
    </cacheField>
    <cacheField name="[Dim_Datetable].[Month Name].[Month Name]" caption="Month Name" numFmtId="0" hierarchy="7" level="1">
      <sharedItems count="2">
        <s v="Jan"/>
        <s v="Dec"/>
      </sharedItems>
    </cacheField>
  </cacheFields>
  <cacheHierarchies count="50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2" memberValueDatatype="130" unbalanced="0">
      <fieldsUsage count="2">
        <fieldUsage x="-1"/>
        <fieldUsage x="3"/>
      </fieldsUsage>
    </cacheHierarchy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 oneField="1">
      <fieldsUsage count="1">
        <fieldUsage x="1"/>
      </fieldsUsage>
    </cacheHierarchy>
    <cacheHierarchy uniqueName="[Measures].[Avg Rider per Trip]" caption="Avg Rider per Trip" measure="1" displayFolder="" measureGroup="Calculations" count="0"/>
    <cacheHierarchy uniqueName="[Measures].[Total Buses]" caption="Total Buses" measure="1" displayFolder="" measureGroup="Calculations" count="0"/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505164004629" createdVersion="7" refreshedVersion="7" minRefreshableVersion="3" recordCount="0" supportSubquery="1" supportAdvancedDrill="1" xr:uid="{6461A423-021A-4450-9FE0-338F6E91C706}">
  <cacheSource type="external" connectionId="7"/>
  <cacheFields count="4">
    <cacheField name="[Dim_routes].[RouteName].[RouteName]" caption="RouteName" numFmtId="0" hierarchy="18" level="1">
      <sharedItems count="1">
        <s v="East-West Express"/>
      </sharedItems>
    </cacheField>
    <cacheField name="[Measures].[TOtal Riders(passenger)]" caption="TOtal Riders(passenger)" numFmtId="0" hierarchy="39" level="32767"/>
    <cacheField name="[Facttable_ridership].[Time].[Time]" caption="Time" numFmtId="0" hierarchy="27" level="1">
      <sharedItems containsSemiMixedTypes="0" containsNonDate="0" containsDate="1" containsString="0" minDate="1899-12-30T11:41:00" maxDate="1899-12-30T11:41:00" count="1">
        <d v="1899-12-30T11:41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1:41:00]"/>
          </x15:cachedUniqueNames>
        </ext>
      </extLst>
    </cacheField>
    <cacheField name="[Dim_Datetable].[Day Name].[Day Name]" caption="Day Name" numFmtId="0" hierarchy="9" level="1">
      <sharedItems count="7">
        <s v="Sun"/>
        <s v="Mon"/>
        <s v="Tue"/>
        <s v="Wed"/>
        <s v="Thu"/>
        <s v="Fri"/>
        <s v="Sat"/>
      </sharedItems>
    </cacheField>
  </cacheFields>
  <cacheHierarchies count="50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2" memberValueDatatype="130" unbalanced="0">
      <fieldsUsage count="2">
        <fieldUsage x="-1"/>
        <fieldUsage x="3"/>
      </fieldsUsage>
    </cacheHierarchy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 oneField="1">
      <fieldsUsage count="1">
        <fieldUsage x="1"/>
      </fieldsUsage>
    </cacheHierarchy>
    <cacheHierarchy uniqueName="[Measures].[Avg Rider per Trip]" caption="Avg Rider per Trip" measure="1" displayFolder="" measureGroup="Calculations" count="0"/>
    <cacheHierarchy uniqueName="[Measures].[Total Buses]" caption="Total Buses" measure="1" displayFolder="" measureGroup="Calculations" count="0"/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505162615744" createdVersion="7" refreshedVersion="7" minRefreshableVersion="3" recordCount="0" supportSubquery="1" supportAdvancedDrill="1" xr:uid="{9241678A-4B16-438D-BEC5-5ABA5D1C7366}">
  <cacheSource type="external" connectionId="7"/>
  <cacheFields count="5">
    <cacheField name="[Dim_routes].[RouteName].[RouteName]" caption="RouteName" numFmtId="0" hierarchy="18" level="1">
      <sharedItems count="1">
        <s v="East-West Express"/>
      </sharedItems>
    </cacheField>
    <cacheField name="[Measures].[TOtal Riders(passenger)]" caption="TOtal Riders(passenger)" numFmtId="0" hierarchy="39" level="32767"/>
    <cacheField name="[Facttable_ridership].[Time].[Time]" caption="Time" numFmtId="0" hierarchy="27" level="1">
      <sharedItems containsSemiMixedTypes="0" containsNonDate="0" containsDate="1" containsString="0" minDate="1899-12-30T11:41:00" maxDate="1899-12-30T11:41:00" count="1">
        <d v="1899-12-30T11:41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1:41:00]"/>
          </x15:cachedUniqueNames>
        </ext>
      </extLst>
    </cacheField>
    <cacheField name="[Dim_Datetable].[Year].[Year]" caption="Year" numFmtId="0" hierarchy="6" level="1">
      <sharedItems containsSemiMixedTypes="0" containsString="0" containsNumber="1" containsInteger="1" minValue="2023" maxValue="2024" count="2">
        <n v="2023"/>
        <n v="2024"/>
      </sharedItems>
      <extLst>
        <ext xmlns:x15="http://schemas.microsoft.com/office/spreadsheetml/2010/11/main" uri="{4F2E5C28-24EA-4eb8-9CBF-B6C8F9C3D259}">
          <x15:cachedUniqueNames>
            <x15:cachedUniqueName index="0" name="[Dim_Datetable].[Year].&amp;[2023]"/>
            <x15:cachedUniqueName index="1" name="[Dim_Datetable].[Year].&amp;[2024]"/>
          </x15:cachedUniqueNames>
        </ext>
      </extLst>
    </cacheField>
    <cacheField name="Dummy0" numFmtId="0" hierarchy="5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51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2" memberValueDatatype="20" unbalanced="0">
      <fieldsUsage count="2">
        <fieldUsage x="-1"/>
        <fieldUsage x="3"/>
      </fieldsUsage>
    </cacheHierarchy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 oneField="1">
      <fieldsUsage count="1">
        <fieldUsage x="1"/>
      </fieldsUsage>
    </cacheHierarchy>
    <cacheHierarchy uniqueName="[Measures].[Avg Rider per Trip]" caption="Avg Rider per Trip" measure="1" displayFolder="" measureGroup="Calculations" count="0"/>
    <cacheHierarchy uniqueName="[Measures].[Total Buses]" caption="Total Buses" measure="1" displayFolder="" measureGroup="Calculations" count="0"/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Dummy0" caption="Calculation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505161226851" createdVersion="7" refreshedVersion="7" minRefreshableVersion="3" recordCount="0" supportSubquery="1" supportAdvancedDrill="1" xr:uid="{289A9B58-D380-4962-8016-279B3FC6F461}">
  <cacheSource type="external" connectionId="7"/>
  <cacheFields count="4">
    <cacheField name="[Dim_routes].[RouteName].[RouteName]" caption="RouteName" numFmtId="0" hierarchy="18" level="1">
      <sharedItems count="1">
        <s v="East-West Express"/>
      </sharedItems>
    </cacheField>
    <cacheField name="[Measures].[TOtal Riders(passenger)]" caption="TOtal Riders(passenger)" numFmtId="0" hierarchy="39" level="32767"/>
    <cacheField name="[Facttable_ridership].[Time].[Time]" caption="Time" numFmtId="0" hierarchy="27" level="1">
      <sharedItems containsSemiMixedTypes="0" containsNonDate="0" containsDate="1" containsString="0" minDate="1899-12-30T11:41:00" maxDate="1899-12-30T11:41:00" count="1">
        <d v="1899-12-30T11:41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1:41:00]"/>
          </x15:cachedUniqueNames>
        </ext>
      </extLst>
    </cacheField>
    <cacheField name="[Dim_Datetable].[Year].[Year]" caption="Year" numFmtId="0" hierarchy="6" level="1">
      <sharedItems containsSemiMixedTypes="0" containsString="0" containsNumber="1" containsInteger="1" minValue="2023" maxValue="2024" count="2">
        <n v="2023"/>
        <n v="2024"/>
      </sharedItems>
      <extLst>
        <ext xmlns:x15="http://schemas.microsoft.com/office/spreadsheetml/2010/11/main" uri="{4F2E5C28-24EA-4eb8-9CBF-B6C8F9C3D259}">
          <x15:cachedUniqueNames>
            <x15:cachedUniqueName index="0" name="[Dim_Datetable].[Year].&amp;[2023]"/>
            <x15:cachedUniqueName index="1" name="[Dim_Datetable].[Year].&amp;[2024]"/>
          </x15:cachedUniqueNames>
        </ext>
      </extLst>
    </cacheField>
  </cacheFields>
  <cacheHierarchies count="50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2" memberValueDatatype="20" unbalanced="0">
      <fieldsUsage count="2">
        <fieldUsage x="-1"/>
        <fieldUsage x="3"/>
      </fieldsUsage>
    </cacheHierarchy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 oneField="1">
      <fieldsUsage count="1">
        <fieldUsage x="1"/>
      </fieldsUsage>
    </cacheHierarchy>
    <cacheHierarchy uniqueName="[Measures].[Avg Rider per Trip]" caption="Avg Rider per Trip" measure="1" displayFolder="" measureGroup="Calculations" count="0"/>
    <cacheHierarchy uniqueName="[Measures].[Total Buses]" caption="Total Buses" measure="1" displayFolder="" measureGroup="Calculations" count="0"/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505159143519" createdVersion="7" refreshedVersion="7" minRefreshableVersion="3" recordCount="0" supportSubquery="1" supportAdvancedDrill="1" xr:uid="{A7A3C9A7-9FBA-429D-8705-C2DD0A43B51D}">
  <cacheSource type="external" connectionId="7"/>
  <cacheFields count="3">
    <cacheField name="[Dim_routes].[RouteName].[RouteName]" caption="RouteName" numFmtId="0" hierarchy="18" level="1">
      <sharedItems count="1">
        <s v="East-West Express"/>
      </sharedItems>
    </cacheField>
    <cacheField name="[Measures].[TOtal Riders(passenger)]" caption="TOtal Riders(passenger)" numFmtId="0" hierarchy="39" level="32767"/>
    <cacheField name="[Facttable_ridership].[Time].[Time]" caption="Time" numFmtId="0" hierarchy="27" level="1">
      <sharedItems containsSemiMixedTypes="0" containsNonDate="0" containsDate="1" containsString="0" minDate="1899-12-30T12:34:00" maxDate="1899-12-30T12:34:00" count="1">
        <d v="1899-12-30T12:34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2:34:00]"/>
          </x15:cachedUniqueNames>
        </ext>
      </extLst>
    </cacheField>
  </cacheFields>
  <cacheHierarchies count="50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 oneField="1">
      <fieldsUsage count="1">
        <fieldUsage x="1"/>
      </fieldsUsage>
    </cacheHierarchy>
    <cacheHierarchy uniqueName="[Measures].[Avg Rider per Trip]" caption="Avg Rider per Trip" measure="1" displayFolder="" measureGroup="Calculations" count="0"/>
    <cacheHierarchy uniqueName="[Measures].[Total Buses]" caption="Total Buses" measure="1" displayFolder="" measureGroup="Calculations" count="0"/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505157754633" createdVersion="7" refreshedVersion="7" minRefreshableVersion="3" recordCount="0" supportSubquery="1" supportAdvancedDrill="1" xr:uid="{09319BD6-C153-401A-B9ED-7CD74F0F5E5E}">
  <cacheSource type="external" connectionId="7"/>
  <cacheFields count="3">
    <cacheField name="[Dim_routes].[RouteName].[RouteName]" caption="RouteName" numFmtId="0" hierarchy="18" level="1">
      <sharedItems count="1">
        <s v="East-West Express"/>
      </sharedItems>
    </cacheField>
    <cacheField name="[Measures].[TOtal Riders(passenger)]" caption="TOtal Riders(passenger)" numFmtId="0" hierarchy="39" level="32767"/>
    <cacheField name="[Facttable_ridership].[Time].[Time]" caption="Time" numFmtId="0" hierarchy="27" level="1">
      <sharedItems containsSemiMixedTypes="0" containsNonDate="0" containsDate="1" containsString="0" minDate="1899-12-30T11:41:00" maxDate="1899-12-30T11:41:00" count="1">
        <d v="1899-12-30T11:41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1:41:00]"/>
          </x15:cachedUniqueNames>
        </ext>
      </extLst>
    </cacheField>
  </cacheFields>
  <cacheHierarchies count="50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 oneField="1">
      <fieldsUsage count="1">
        <fieldUsage x="1"/>
      </fieldsUsage>
    </cacheHierarchy>
    <cacheHierarchy uniqueName="[Measures].[Avg Rider per Trip]" caption="Avg Rider per Trip" measure="1" displayFolder="" measureGroup="Calculations" count="0"/>
    <cacheHierarchy uniqueName="[Measures].[Total Buses]" caption="Total Buses" measure="1" displayFolder="" measureGroup="Calculations" count="0"/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505152546299" createdVersion="7" refreshedVersion="7" minRefreshableVersion="3" recordCount="0" supportSubquery="1" supportAdvancedDrill="1" xr:uid="{0775248C-85E8-4FC6-A6E4-4DC5102CC6FF}">
  <cacheSource type="external" connectionId="7"/>
  <cacheFields count="3">
    <cacheField name="[Dim_routes].[RouteName].[RouteName]" caption="RouteName" numFmtId="0" hierarchy="18" level="1">
      <sharedItems count="1">
        <s v="East-West Express"/>
      </sharedItems>
    </cacheField>
    <cacheField name="[Measures].[TOtal Riders(passenger)]" caption="TOtal Riders(passenger)" numFmtId="0" hierarchy="39" level="32767"/>
    <cacheField name="[Facttable_ridership].[Time Group].[Time Group]" caption="Time Group" numFmtId="0" hierarchy="31" level="1">
      <sharedItems count="5">
        <s v="12:00AM - 3:00AM"/>
        <s v="12:00PM - 3:00PM"/>
        <s v="3:00AM - 6:00AM"/>
        <s v="6:00AM - 9:00AM"/>
        <s v="9:00AM - 12:00PM"/>
      </sharedItems>
    </cacheField>
  </cacheFields>
  <cacheHierarchies count="50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0" memberValueDatatype="7" unbalanced="0"/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2" memberValueDatatype="130" unbalanced="0">
      <fieldsUsage count="2">
        <fieldUsage x="-1"/>
        <fieldUsage x="2"/>
      </fieldsUsage>
    </cacheHierarchy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 oneField="1">
      <fieldsUsage count="1">
        <fieldUsage x="1"/>
      </fieldsUsage>
    </cacheHierarchy>
    <cacheHierarchy uniqueName="[Measures].[Avg Rider per Trip]" caption="Avg Rider per Trip" measure="1" displayFolder="" measureGroup="Calculations" count="0"/>
    <cacheHierarchy uniqueName="[Measures].[Total Buses]" caption="Total Buses" measure="1" displayFolder="" measureGroup="Calculations" count="0"/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505154050923" createdVersion="7" refreshedVersion="7" minRefreshableVersion="3" recordCount="0" supportSubquery="1" supportAdvancedDrill="1" xr:uid="{C36DD1C3-20BC-4EBF-91B1-4B9E3D68DF87}">
  <cacheSource type="external" connectionId="7"/>
  <cacheFields count="2">
    <cacheField name="[Measures].[TOtal Riders(passenger)]" caption="TOtal Riders(passenger)" numFmtId="0" hierarchy="39" level="32767"/>
    <cacheField name="[Measures].[Avg Rider per Trip]" caption="Avg Rider per Trip" numFmtId="0" hierarchy="40" level="32767"/>
  </cacheFields>
  <cacheHierarchies count="50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0" memberValueDatatype="7" unbalanced="0"/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 oneField="1">
      <fieldsUsage count="1">
        <fieldUsage x="0"/>
      </fieldsUsage>
    </cacheHierarchy>
    <cacheHierarchy uniqueName="[Measures].[Avg Rider per Trip]" caption="Avg Rider per Trip" measure="1" displayFolder="" measureGroup="Calculations" count="0" oneField="1">
      <fieldsUsage count="1">
        <fieldUsage x="1"/>
      </fieldsUsage>
    </cacheHierarchy>
    <cacheHierarchy uniqueName="[Measures].[Total Buses]" caption="Total Buses" measure="1" displayFolder="" measureGroup="Calculations" count="0"/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anky" refreshedDate="45388.638641319441" createdVersion="7" refreshedVersion="7" minRefreshableVersion="3" recordCount="0" supportSubquery="1" supportAdvancedDrill="1" xr:uid="{63FAB820-1D91-4DD1-B9CA-382E80869F16}">
  <cacheSource type="external" connectionId="7"/>
  <cacheFields count="2">
    <cacheField name="[Facttable_ridership].[Operation Moment].[Operation Moment]" caption="Operation Moment" numFmtId="0" hierarchy="28" level="1">
      <sharedItems count="2">
        <s v="AM"/>
        <s v="PM"/>
      </sharedItems>
    </cacheField>
    <cacheField name="[Measures].[TOtal Riders(passenger)]" caption="TOtal Riders(passenger)" numFmtId="0" hierarchy="39" level="32767"/>
  </cacheFields>
  <cacheHierarchies count="50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 Type]" caption="Week Type" attribute="1" defaultMemberUniqueName="[Dim_Datetable].[Week Type].[All]" allUniqueName="[Dim_Datetable].[Week 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-Group]" caption="Age-Group" attribute="1" defaultMemberUniqueName="[Dim_demographics].[Age-Group].[All]" allUniqueName="[Dim_demographics].[Age-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0" memberValueDatatype="7" unbalanced="0"/>
    <cacheHierarchy uniqueName="[Facttable_ridership].[Operation Moment]" caption="Operation Moment" attribute="1" defaultMemberUniqueName="[Facttable_ridership].[Operation Moment].[All]" allUniqueName="[Facttable_ridership].[Operation Moment].[All]" dimensionUniqueName="[Facttable_ridership]" displayFolder="" count="2" memberValueDatatype="130" unbalanced="0">
      <fieldsUsage count="2">
        <fieldUsage x="-1"/>
        <fieldUsage x="0"/>
      </fieldsUsage>
    </cacheHierarchy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Measures].[Total transaction]" caption="Total 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s(passenger)]" caption="TOtal Riders(passenger)" measure="1" displayFolder="" measureGroup="Calculations" count="0" oneField="1">
      <fieldsUsage count="1">
        <fieldUsage x="1"/>
      </fieldsUsage>
    </cacheHierarchy>
    <cacheHierarchy uniqueName="[Measures].[Avg Rider per Trip]" caption="Avg Rider per Trip" measure="1" displayFolder="" measureGroup="Calculations" count="0"/>
    <cacheHierarchy uniqueName="[Measures].[Total Buses]" caption="Total Buses" measure="1" displayFolder="" measureGroup="Calculations" count="0"/>
    <cacheHierarchy uniqueName="[Measures].[__XL_Count Calculations]" caption="__XL_Count Calculations" measure="1" displayFolder="" measureGroup="Calculation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Dim_Datetable]" caption="__XL_Count Dim_Datetable" measure="1" displayFolder="" measureGroup="Dim_Datetable" count="0" hidden="1"/>
    <cacheHierarchy uniqueName="[Measures].[__No measures defined]" caption="__No measures defined" measure="1" displayFolder="" count="0" hidden="1"/>
    <cacheHierarchy uniqueName="[Measures].[Count of Operation Moment]" caption="Count of Operation Moment" measure="1" displayFolder="" measureGroup="Facttable_ridership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1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58C2AA-0CB2-4097-9FEE-8C97DDE7F546}" name="PivotTable6" cacheId="9" applyNumberFormats="0" applyBorderFormats="0" applyFontFormats="0" applyPatternFormats="0" applyAlignmentFormats="0" applyWidthHeightFormats="1" dataCaption="Values" tag="064c64c4-0219-461a-a99f-8d59a9b68a7f" updatedVersion="7" minRefreshableVersion="3" useAutoFormatting="1" subtotalHiddenItems="1" rowGrandTotals="0" colGrandTotals="0" itemPrintTitles="1" createdVersion="7" indent="0" outline="1" outlineData="1" multipleFieldFilters="0" chartFormat="4">
  <location ref="G4:H9" firstHeaderRow="1" firstDataRow="1" firstDataCol="1"/>
  <pivotFields count="3">
    <pivotField allDrilled="1" subtotalTop="0" showAll="0" measureFilter="1" dataSourceSort="1" defaultSubtotal="0" defaultAttributeDrillState="1">
      <items count="1">
        <item x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1">
    <field x="2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fld="1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39">
      <autoFilter ref="A1">
        <filterColumn colId="0">
          <top10 val="1" filterVal="1"/>
        </filterColumn>
      </autoFilter>
    </filter>
  </filters>
  <rowHierarchiesUsage count="1"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culations]"/>
        <x15:activeTabTopLevelEntity name="[Dim_routes]"/>
        <x15:activeTabTopLevelEntity name="[Facttable_ridershi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41DBFA-DF47-4EF9-9CE9-9ECE209F4E17}" name="PivotTable11" cacheId="2" applyNumberFormats="0" applyBorderFormats="0" applyFontFormats="0" applyPatternFormats="0" applyAlignmentFormats="0" applyWidthHeightFormats="1" dataCaption="Values" tag="bcb7dfcb-69da-4a6a-adc3-3da08c2da2a5" updatedVersion="7" minRefreshableVersion="3" useAutoFormatting="1" subtotalHiddenItems="1" rowGrandTotals="0" colGrandTotals="0" itemPrintTitles="1" createdVersion="7" indent="0" outline="1" outlineData="1" multipleFieldFilters="0" chartFormat="21">
  <location ref="AL5:AM8" firstHeaderRow="1" firstDataRow="1" firstDataCol="1"/>
  <pivotFields count="4">
    <pivotField allDrilled="1" subtotalTop="0" showAll="0" measureFilter="1" dataSourceSort="1" defaultSubtotal="0" defaultAttributeDrillState="1">
      <items count="1">
        <item x="0"/>
      </items>
    </pivotField>
    <pivotField allDrilled="1" subtotalTop="0" showAll="0" measureFilter="1" dataSourceSort="1" defaultSubtotal="0" defaultAttributeDrillState="1">
      <items count="1">
        <item x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1">
    <field x="3"/>
  </rowFields>
  <rowItems count="3">
    <i>
      <x/>
    </i>
    <i>
      <x v="1"/>
    </i>
    <i>
      <x v="2"/>
    </i>
  </rowItems>
  <colItems count="1">
    <i/>
  </colItems>
  <dataFields count="1">
    <dataField fld="2" subtotal="count" baseField="0" baseItem="0"/>
  </dataFields>
  <formats count="2">
    <format dxfId="1">
      <pivotArea field="3" type="button" dataOnly="0" labelOnly="1" outline="0" axis="axisRow" fieldPosition="0"/>
    </format>
    <format dxfId="0">
      <pivotArea dataOnly="0" labelOnly="1" outline="0" axis="axisValues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39">
      <autoFilter ref="A1">
        <filterColumn colId="0">
          <top10 val="1" filterVal="1"/>
        </filterColumn>
      </autoFilter>
    </filter>
    <filter fld="1" type="count" id="2" iMeasureHier="39">
      <autoFilter ref="A1">
        <filterColumn colId="0">
          <top10 val="1" filterVal="1"/>
        </filterColumn>
      </autoFilter>
    </filter>
  </filters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culations]"/>
        <x15:activeTabTopLevelEntity name="[Dim_routes]"/>
        <x15:activeTabTopLevelEntity name="[Facttable_ridership]"/>
        <x15:activeTabTopLevelEntity name="[Dim_Datetable]"/>
        <x15:activeTabTopLevelEntity name="[Dim_bu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5ABC53-9347-4D6E-B235-F283704F2022}" name="PivotTable10" cacheId="3" applyNumberFormats="0" applyBorderFormats="0" applyFontFormats="0" applyPatternFormats="0" applyAlignmentFormats="0" applyWidthHeightFormats="1" dataCaption="Values" tag="b9943d8e-6ff3-4c5e-ab41-e7c029f5ca69" updatedVersion="7" minRefreshableVersion="3" useAutoFormatting="1" subtotalHiddenItems="1" rowGrandTotals="0" colGrandTotals="0" itemPrintTitles="1" createdVersion="7" indent="0" outline="1" outlineData="1" multipleFieldFilters="0" chartFormat="21">
  <location ref="AH5:AI7" firstHeaderRow="1" firstDataRow="1" firstDataCol="1"/>
  <pivotFields count="4">
    <pivotField allDrilled="1" subtotalTop="0" showAll="0" measureFilter="1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measureFilter="1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3"/>
  </rowFields>
  <rowItems count="2">
    <i>
      <x/>
    </i>
    <i>
      <x v="1"/>
    </i>
  </rowItems>
  <colItems count="1">
    <i/>
  </colItems>
  <dataFields count="1">
    <dataField fld="1" subtotal="count" baseField="0" baseItem="0"/>
  </dataFields>
  <formats count="1">
    <format dxfId="2">
      <pivotArea dataOnly="0" outline="0" axis="axisValues" fieldPosition="0"/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39">
      <autoFilter ref="A1">
        <filterColumn colId="0">
          <top10 val="1" filterVal="1"/>
        </filterColumn>
      </autoFilter>
    </filter>
    <filter fld="2" type="count" id="2" iMeasureHier="39">
      <autoFilter ref="A1">
        <filterColumn colId="0">
          <top10 val="1" filterVal="1"/>
        </filterColumn>
      </autoFilter>
    </filter>
  </filter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culations]"/>
        <x15:activeTabTopLevelEntity name="[Dim_routes]"/>
        <x15:activeTabTopLevelEntity name="[Facttable_ridership]"/>
        <x15:activeTabTopLevelEntity name="[Dim_Date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7DB87-EA39-4032-A2A4-C068274B9584}" name="PivotTable2" cacheId="7" applyNumberFormats="0" applyBorderFormats="0" applyFontFormats="0" applyPatternFormats="0" applyAlignmentFormats="0" applyWidthHeightFormats="1" dataCaption="Values" tag="13bba81d-4778-493c-8706-edb7fbd18ffa" updatedVersion="7" minRefreshableVersion="3" useAutoFormatting="1" subtotalHiddenItems="1" rowGrandTotals="0" colGrandTotals="0" itemPrintTitles="1" createdVersion="7" indent="0" outline="1" outlineData="1" multipleFieldFilters="0" chartFormat="4">
  <location ref="G17:H18" firstHeaderRow="1" firstDataRow="1" firstDataCol="1"/>
  <pivotFields count="3">
    <pivotField allDrilled="1" subtotalTop="0" showAll="0" measureFilter="1" dataSourceSort="1" defaultSubtotal="0" defaultAttributeDrillState="1">
      <items count="1">
        <item x="0"/>
      </items>
    </pivotField>
    <pivotField dataField="1" subtotalTop="0" showAll="0" defaultSubtotal="0"/>
    <pivotField axis="axisRow" allDrilled="1" subtotalTop="0" showAll="0" measureFilter="1" dataSourceSort="1" defaultSubtotal="0" defaultAttributeDrillState="1">
      <items count="1">
        <item x="0"/>
      </items>
    </pivotField>
  </pivotFields>
  <rowFields count="1">
    <field x="2"/>
  </rowFields>
  <rowItems count="1">
    <i>
      <x/>
    </i>
  </rowItems>
  <colItems count="1">
    <i/>
  </colItems>
  <dataFields count="1">
    <dataField fld="1" subtotal="count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2">
    <filter fld="2" type="count" id="3" iMeasureHier="39">
      <autoFilter ref="A1">
        <filterColumn colId="0">
          <top10 top="0" val="1" filterVal="1"/>
        </filterColumn>
      </autoFilter>
    </filter>
    <filter fld="0" type="count" id="1" iMeasureHier="39">
      <autoFilter ref="A1">
        <filterColumn colId="0">
          <top10 val="1" filterVal="1"/>
        </filterColumn>
      </autoFilter>
    </filter>
  </filters>
  <rowHierarchiesUsage count="1">
    <rowHierarchyUsage hierarchyUsage="2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culations]"/>
        <x15:activeTabTopLevelEntity name="[Dim_routes]"/>
        <x15:activeTabTopLevelEntity name="[Facttable_ridershi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DE50A4-7594-4B56-BF58-2AAC77E5C7CD}" name="PivotTable16" cacheId="11" applyNumberFormats="0" applyBorderFormats="0" applyFontFormats="0" applyPatternFormats="0" applyAlignmentFormats="0" applyWidthHeightFormats="1" dataCaption="Values" tag="15d92333-4921-4750-94c8-7b020386b750" updatedVersion="7" minRefreshableVersion="3" useAutoFormatting="1" rowGrandTotals="0" colGrandTotals="0" itemPrintTitles="1" createdVersion="7" indent="0" outline="1" outlineData="1" multipleFieldFilters="0">
  <location ref="AR4:AS6" firstHeaderRow="1" firstDataRow="1" firstDataCol="1"/>
  <pivotFields count="2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2">
    <i>
      <x/>
    </i>
    <i>
      <x v="1"/>
    </i>
  </rowItems>
  <colItems count="1">
    <i/>
  </colItems>
  <dataFields count="1">
    <dataField name="Total Riders(passenger)" fld="1" subtotal="count" baseField="0" baseItem="0"/>
  </dataFields>
  <formats count="2">
    <format dxfId="4">
      <pivotArea field="0" type="button" dataOnly="0" labelOnly="1" outline="0" axis="axisRow" fieldPosition="0"/>
    </format>
    <format dxfId="3">
      <pivotArea dataOnly="0" labelOnly="1" outline="0" axis="axisValues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Total Riders(passenger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_ridership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F7035D-4578-406C-AB96-F7F654BE925E}" name="PivotTable14" cacheId="1" applyNumberFormats="0" applyBorderFormats="0" applyFontFormats="0" applyPatternFormats="0" applyAlignmentFormats="0" applyWidthHeightFormats="1" dataCaption="Values" tag="7df062e1-e208-4f3a-9bc4-5ea09126f9ef" updatedVersion="7" minRefreshableVersion="3" useAutoFormatting="1" rowGrandTotals="0" colGrandTotals="0" itemPrintTitles="1" createdVersion="7" indent="0" outline="1" outlineData="1" multipleFieldFilters="0">
  <location ref="B18:C19" firstHeaderRow="1" firstDataRow="1" firstDataCol="1"/>
  <pivotFields count="2">
    <pivotField axis="axisRow" allDrilled="1" subtotalTop="0" showAll="0" measureFilter="1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0"/>
  </rowFields>
  <rowItems count="1">
    <i>
      <x/>
    </i>
  </rowItems>
  <colItems count="1">
    <i/>
  </colItems>
  <dataFields count="1">
    <dataField fld="1" subtotal="count" baseField="0" baseItem="0"/>
  </dataField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39">
      <autoFilter ref="A1">
        <filterColumn colId="0">
          <top10 val="1" filterVal="1"/>
        </filterColumn>
      </autoFilter>
    </filter>
  </filters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routes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88940D-E4D1-4621-8B5B-CDBA248325C6}" name="PivotTable3" cacheId="10" applyNumberFormats="0" applyBorderFormats="0" applyFontFormats="0" applyPatternFormats="0" applyAlignmentFormats="0" applyWidthHeightFormats="1" dataCaption="Values" tag="184ad036-edae-4840-89d2-5574d9eab6e6" updatedVersion="7" minRefreshableVersion="3" useAutoFormatting="1" subtotalHiddenItems="1" itemPrintTitles="1" createdVersion="7" indent="0" outline="1" outlineData="1" multipleFieldFilters="0">
  <location ref="B4:C5" firstHeaderRow="0" firstDataRow="1" firstDataCol="0"/>
  <pivotFields count="2"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fld="1" subtotal="count" baseField="0" baseItem="0"/>
  </dataField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_ridership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877B2D-EE70-48EF-BD8E-075FD6D22B19}" name="PivotTable15" cacheId="0" applyNumberFormats="0" applyBorderFormats="0" applyFontFormats="0" applyPatternFormats="0" applyAlignmentFormats="0" applyWidthHeightFormats="1" dataCaption="Values" tag="808beea4-2768-403b-9d1b-bf4905d8dc37" updatedVersion="7" minRefreshableVersion="3" useAutoFormatting="1" rowGrandTotals="0" colGrandTotals="0" itemPrintTitles="1" createdVersion="7" indent="0" outline="1" outlineData="1" multipleFieldFilters="0">
  <location ref="B22:C23" firstHeaderRow="1" firstDataRow="1" firstDataCol="1"/>
  <pivotFields count="2">
    <pivotField axis="axisRow" allDrilled="1" subtotalTop="0" showAll="0" measureFilter="1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0"/>
  </rowFields>
  <rowItems count="1">
    <i>
      <x/>
    </i>
  </rowItems>
  <colItems count="1">
    <i/>
  </colItems>
  <dataFields count="1">
    <dataField fld="1" subtotal="count" baseField="0" baseItem="0"/>
  </dataField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2" iMeasureHier="39">
      <autoFilter ref="A1">
        <filterColumn colId="0">
          <top10 top="0" val="1" filterVal="1"/>
        </filterColumn>
      </autoFilter>
    </filter>
  </filters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routes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865C9-00D6-4D26-A99A-5AB31BE57326}" name="PivotTable7" cacheId="6" applyNumberFormats="0" applyBorderFormats="0" applyFontFormats="0" applyPatternFormats="0" applyAlignmentFormats="0" applyWidthHeightFormats="1" dataCaption="Values" tag="e6ceb7c3-e3f1-4e62-bd5f-b7a0fc4d93ce" updatedVersion="7" minRefreshableVersion="3" useAutoFormatting="1" subtotalHiddenItems="1" rowGrandTotals="0" colGrandTotals="0" itemPrintTitles="1" createdVersion="7" indent="0" outline="1" outlineData="1" multipleFieldFilters="0" chartFormat="10">
  <location ref="L5:M7" firstHeaderRow="1" firstDataRow="1" firstDataCol="1"/>
  <pivotFields count="4">
    <pivotField allDrilled="1" subtotalTop="0" showAll="0" measureFilter="1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measureFilter="1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3"/>
  </rowFields>
  <rowItems count="2">
    <i>
      <x/>
    </i>
    <i>
      <x v="1"/>
    </i>
  </rowItems>
  <colItems count="1">
    <i/>
  </colItems>
  <dataFields count="1">
    <dataField fld="1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39">
      <autoFilter ref="A1">
        <filterColumn colId="0">
          <top10 val="1" filterVal="1"/>
        </filterColumn>
      </autoFilter>
    </filter>
    <filter fld="2" type="count" id="2" iMeasureHier="39">
      <autoFilter ref="A1">
        <filterColumn colId="0">
          <top10 val="1" filterVal="1"/>
        </filterColumn>
      </autoFilter>
    </filter>
  </filter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culations]"/>
        <x15:activeTabTopLevelEntity name="[Dim_routes]"/>
        <x15:activeTabTopLevelEntity name="[Facttable_ridership]"/>
        <x15:activeTabTopLevelEntity name="[Dim_Date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E6E158-22D1-4ADE-A35C-6C997C223208}" name="PivotTable8" cacheId="5" applyNumberFormats="0" applyBorderFormats="0" applyFontFormats="0" applyPatternFormats="0" applyAlignmentFormats="0" applyWidthHeightFormats="1" dataCaption="Values" tag="b314be4e-d5e3-4069-8600-0ee6d74a5a27" updatedVersion="7" minRefreshableVersion="3" useAutoFormatting="1" subtotalHiddenItems="1" rowGrandTotals="0" colGrandTotals="0" itemPrintTitles="1" createdVersion="7" indent="0" outline="1" outlineData="1" multipleFieldFilters="0" chartFormat="4">
  <location ref="L12:N14" firstHeaderRow="0" firstDataRow="1" firstDataCol="1"/>
  <pivotFields count="5">
    <pivotField allDrilled="1" subtotalTop="0" showAll="0" measureFilter="1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measureFilter="1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2">
    <i>
      <x/>
    </i>
    <i>
      <x v="1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name="TOtal Riders(passenger)2" fld="4" subtotal="count" showDataAs="percentDiff" baseField="3" baseItem="0" numFmtId="10">
      <extLst>
        <ext xmlns:x14="http://schemas.microsoft.com/office/spreadsheetml/2009/9/main" uri="{E15A36E0-9728-4e99-A89B-3F7291B0FE68}">
          <x14:dataField sourceField="1" uniqueName="[__Xl2].[Measures].[TOtal Riders(passenger)]"/>
        </ext>
      </extLst>
    </dataField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filters count="2">
    <filter fld="0" type="count" id="1" iMeasureHier="39">
      <autoFilter ref="A1">
        <filterColumn colId="0">
          <top10 val="1" filterVal="1"/>
        </filterColumn>
      </autoFilter>
    </filter>
    <filter fld="2" type="count" id="2" iMeasureHier="39">
      <autoFilter ref="A1">
        <filterColumn colId="0">
          <top10 val="1" filterVal="1"/>
        </filterColumn>
      </autoFilter>
    </filter>
  </filters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culations]"/>
        <x15:activeTabTopLevelEntity name="[Dim_routes]"/>
        <x15:activeTabTopLevelEntity name="[Facttable_ridership]"/>
        <x15:activeTabTopLevelEntity name="[Dim_Date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B84177-1B60-4C1A-B7E0-F5CC23B2F36A}" name="PivotTable1" cacheId="8" applyNumberFormats="0" applyBorderFormats="0" applyFontFormats="0" applyPatternFormats="0" applyAlignmentFormats="0" applyWidthHeightFormats="1" dataCaption="Values" tag="c1d1b7db-2436-409c-a033-b3470b1a655d" updatedVersion="7" minRefreshableVersion="3" useAutoFormatting="1" subtotalHiddenItems="1" rowGrandTotals="0" colGrandTotals="0" itemPrintTitles="1" createdVersion="7" indent="0" outline="1" outlineData="1" multipleFieldFilters="0" chartFormat="4">
  <location ref="G13:H14" firstHeaderRow="1" firstDataRow="1" firstDataCol="1"/>
  <pivotFields count="3">
    <pivotField allDrilled="1" subtotalTop="0" showAll="0" measureFilter="1" dataSourceSort="1" defaultSubtotal="0" defaultAttributeDrillState="1">
      <items count="1">
        <item x="0"/>
      </items>
    </pivotField>
    <pivotField dataField="1" subtotalTop="0" showAll="0" defaultSubtotal="0"/>
    <pivotField axis="axisRow" allDrilled="1" subtotalTop="0" showAll="0" measureFilter="1" dataSourceSort="1" defaultSubtotal="0" defaultAttributeDrillState="1">
      <items count="1">
        <item x="0"/>
      </items>
    </pivotField>
  </pivotFields>
  <rowFields count="1">
    <field x="2"/>
  </rowFields>
  <rowItems count="1">
    <i>
      <x/>
    </i>
  </rowItems>
  <colItems count="1">
    <i/>
  </colItems>
  <dataFields count="1">
    <dataField fld="1" subtotal="count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39">
      <autoFilter ref="A1">
        <filterColumn colId="0">
          <top10 val="1" filterVal="1"/>
        </filterColumn>
      </autoFilter>
    </filter>
    <filter fld="2" type="count" id="2" iMeasureHier="39">
      <autoFilter ref="A1">
        <filterColumn colId="0">
          <top10 val="1" filterVal="1"/>
        </filterColumn>
      </autoFilter>
    </filter>
  </filters>
  <rowHierarchiesUsage count="1">
    <rowHierarchyUsage hierarchyUsage="2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Calculations]"/>
        <x15:activeTabTopLevelEntity name="[Dim_routes]"/>
        <x15:activeTabTopLevelEntity name="[Facttable_ridershi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6DAFC2-2AB5-41C8-BF2D-8262559D4E81}" name="PivotTable9" cacheId="4" applyNumberFormats="0" applyBorderFormats="0" applyFontFormats="0" applyPatternFormats="0" applyAlignmentFormats="0" applyWidthHeightFormats="1" dataCaption="Values" tag="f003ad2a-c0b1-4381-adea-2984162c1c66" updatedVersion="7" minRefreshableVersion="3" useAutoFormatting="1" subtotalHiddenItems="1" rowGrandTotals="0" colGrandTotals="0" itemPrintTitles="1" createdVersion="7" indent="0" outline="1" outlineData="1" multipleFieldFilters="0" chartFormat="13">
  <location ref="R5:S12" firstHeaderRow="1" firstDataRow="1" firstDataCol="1"/>
  <pivotFields count="4">
    <pivotField allDrilled="1" subtotalTop="0" showAll="0" measureFilter="1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measureFilter="1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fld="1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39">
      <autoFilter ref="A1">
        <filterColumn colId="0">
          <top10 val="1" filterVal="1"/>
        </filterColumn>
      </autoFilter>
    </filter>
    <filter fld="2" type="count" id="2" iMeasureHier="39">
      <autoFilter ref="A1">
        <filterColumn colId="0">
          <top10 val="1" filterVal="1"/>
        </filterColumn>
      </autoFilter>
    </filter>
  </filters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culations]"/>
        <x15:activeTabTopLevelEntity name="[Dim_routes]"/>
        <x15:activeTabTopLevelEntity name="[Facttable_ridership]"/>
        <x15:activeTabTopLevelEntity name="[Dim_Date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42027-B80C-4463-9068-9A64850837E0}">
  <dimension ref="B4:AT23"/>
  <sheetViews>
    <sheetView topLeftCell="AI1" workbookViewId="0">
      <selection activeCell="AX17" sqref="AX17"/>
    </sheetView>
  </sheetViews>
  <sheetFormatPr defaultRowHeight="14.4" x14ac:dyDescent="0.3"/>
  <cols>
    <col min="1" max="1" width="12.44140625" bestFit="1" customWidth="1"/>
    <col min="2" max="2" width="13.109375" bestFit="1" customWidth="1"/>
    <col min="3" max="3" width="22.5546875" bestFit="1" customWidth="1"/>
    <col min="4" max="4" width="16.6640625" customWidth="1"/>
    <col min="5" max="5" width="4.109375" style="6" customWidth="1"/>
    <col min="6" max="6" width="13" customWidth="1"/>
    <col min="7" max="7" width="13.109375" bestFit="1" customWidth="1"/>
    <col min="8" max="8" width="22.5546875" bestFit="1" customWidth="1"/>
    <col min="10" max="10" width="4.6640625" style="8" customWidth="1"/>
    <col min="12" max="12" width="13.109375" bestFit="1" customWidth="1"/>
    <col min="13" max="13" width="22.5546875" bestFit="1" customWidth="1"/>
    <col min="14" max="14" width="23.5546875" bestFit="1" customWidth="1"/>
    <col min="16" max="16" width="3.33203125" style="10" customWidth="1"/>
    <col min="18" max="18" width="13.109375" bestFit="1" customWidth="1"/>
    <col min="19" max="19" width="22.5546875" bestFit="1" customWidth="1"/>
    <col min="22" max="22" width="22.5546875" bestFit="1" customWidth="1"/>
    <col min="32" max="32" width="4.109375" style="12" customWidth="1"/>
    <col min="34" max="34" width="13.109375" bestFit="1" customWidth="1"/>
    <col min="35" max="35" width="22.5546875" bestFit="1" customWidth="1"/>
    <col min="36" max="36" width="4.6640625" style="13" customWidth="1"/>
    <col min="38" max="38" width="14" bestFit="1" customWidth="1"/>
    <col min="39" max="39" width="11" bestFit="1" customWidth="1"/>
    <col min="42" max="42" width="4.5546875" style="13" customWidth="1"/>
    <col min="44" max="44" width="13.109375" bestFit="1" customWidth="1"/>
    <col min="45" max="45" width="22.5546875" bestFit="1" customWidth="1"/>
  </cols>
  <sheetData>
    <row r="4" spans="2:46" x14ac:dyDescent="0.3">
      <c r="B4" t="s">
        <v>0</v>
      </c>
      <c r="C4" t="s">
        <v>1</v>
      </c>
      <c r="G4" s="1" t="s">
        <v>2</v>
      </c>
      <c r="H4" t="s">
        <v>0</v>
      </c>
      <c r="AR4" s="14" t="s">
        <v>2</v>
      </c>
      <c r="AS4" s="14" t="s">
        <v>41</v>
      </c>
    </row>
    <row r="5" spans="2:46" x14ac:dyDescent="0.3">
      <c r="B5" s="4">
        <v>6587</v>
      </c>
      <c r="C5" s="3">
        <v>32.935000000000002</v>
      </c>
      <c r="G5" s="2" t="s">
        <v>3</v>
      </c>
      <c r="H5" s="4">
        <v>869</v>
      </c>
      <c r="L5" s="1" t="s">
        <v>2</v>
      </c>
      <c r="M5" t="s">
        <v>0</v>
      </c>
      <c r="R5" s="1" t="s">
        <v>2</v>
      </c>
      <c r="S5" t="s">
        <v>0</v>
      </c>
      <c r="U5" t="str">
        <f>R5</f>
        <v>Row Labels</v>
      </c>
      <c r="V5" t="str">
        <f>S5</f>
        <v>TOtal Riders(passenger)</v>
      </c>
      <c r="W5" t="s">
        <v>4</v>
      </c>
      <c r="X5" t="s">
        <v>5</v>
      </c>
      <c r="AH5" s="1" t="s">
        <v>2</v>
      </c>
      <c r="AI5" s="14" t="s">
        <v>0</v>
      </c>
      <c r="AL5" s="14" t="s">
        <v>2</v>
      </c>
      <c r="AM5" s="14" t="s">
        <v>6</v>
      </c>
      <c r="AR5" s="2" t="s">
        <v>7</v>
      </c>
      <c r="AS5" s="4">
        <v>2331</v>
      </c>
      <c r="AT5" s="15">
        <f>AS5/SUM($AS$5:$AS$6)</f>
        <v>0.35387885228480342</v>
      </c>
    </row>
    <row r="6" spans="2:46" x14ac:dyDescent="0.3">
      <c r="G6" s="2" t="s">
        <v>8</v>
      </c>
      <c r="H6" s="4">
        <v>388</v>
      </c>
      <c r="L6" s="2">
        <v>2023</v>
      </c>
      <c r="M6" s="4">
        <v>5654</v>
      </c>
      <c r="R6" s="2" t="s">
        <v>9</v>
      </c>
      <c r="S6" s="4">
        <v>1185</v>
      </c>
      <c r="U6" t="str">
        <f t="shared" ref="U6:V12" si="0">R6</f>
        <v>Sun</v>
      </c>
      <c r="V6">
        <f t="shared" si="0"/>
        <v>1185</v>
      </c>
      <c r="W6">
        <f>AVERAGE($V$6:$V$12)</f>
        <v>941</v>
      </c>
      <c r="X6">
        <f>IF(V6&gt;W6,V6,"")</f>
        <v>1185</v>
      </c>
      <c r="AH6" s="2" t="s">
        <v>10</v>
      </c>
      <c r="AI6" s="4">
        <v>933</v>
      </c>
      <c r="AL6" s="2" t="s">
        <v>11</v>
      </c>
      <c r="AM6" s="4">
        <v>27</v>
      </c>
      <c r="AN6" t="str">
        <f>AM6&amp;" Total Buses "</f>
        <v xml:space="preserve">27 Total Buses </v>
      </c>
      <c r="AR6" s="2" t="s">
        <v>12</v>
      </c>
      <c r="AS6" s="4">
        <v>4256</v>
      </c>
      <c r="AT6" s="15">
        <f>AS6/SUM($AS$5:$AS$6)</f>
        <v>0.64612114771519658</v>
      </c>
    </row>
    <row r="7" spans="2:46" x14ac:dyDescent="0.3">
      <c r="G7" s="2" t="s">
        <v>13</v>
      </c>
      <c r="H7" s="4">
        <v>884</v>
      </c>
      <c r="L7" s="2">
        <v>2024</v>
      </c>
      <c r="M7" s="4">
        <v>933</v>
      </c>
      <c r="R7" s="2" t="s">
        <v>14</v>
      </c>
      <c r="S7" s="4">
        <v>1085</v>
      </c>
      <c r="U7" t="str">
        <f t="shared" si="0"/>
        <v>Mon</v>
      </c>
      <c r="V7">
        <f t="shared" si="0"/>
        <v>1085</v>
      </c>
      <c r="W7">
        <f t="shared" ref="W7:W12" si="1">AVERAGE($V$6:$V$12)</f>
        <v>941</v>
      </c>
      <c r="X7">
        <f t="shared" ref="X7:X12" si="2">IF(V7&gt;W7,V7,"")</f>
        <v>1085</v>
      </c>
      <c r="AH7" s="2" t="s">
        <v>15</v>
      </c>
      <c r="AI7" s="4">
        <v>5654</v>
      </c>
      <c r="AL7" s="2" t="s">
        <v>16</v>
      </c>
      <c r="AM7" s="4">
        <v>19</v>
      </c>
      <c r="AN7" t="str">
        <f t="shared" ref="AN7:AN8" si="3">AM7&amp;" Total Buses "</f>
        <v xml:space="preserve">19 Total Buses </v>
      </c>
    </row>
    <row r="8" spans="2:46" x14ac:dyDescent="0.3">
      <c r="G8" s="2" t="s">
        <v>17</v>
      </c>
      <c r="H8" s="4">
        <v>1941</v>
      </c>
      <c r="R8" s="2" t="s">
        <v>18</v>
      </c>
      <c r="S8" s="4">
        <v>983</v>
      </c>
      <c r="U8" t="str">
        <f t="shared" si="0"/>
        <v>Tue</v>
      </c>
      <c r="V8">
        <f t="shared" si="0"/>
        <v>983</v>
      </c>
      <c r="W8">
        <f t="shared" si="1"/>
        <v>941</v>
      </c>
      <c r="X8">
        <f t="shared" si="2"/>
        <v>983</v>
      </c>
      <c r="AL8" s="2" t="s">
        <v>19</v>
      </c>
      <c r="AM8" s="4">
        <v>36</v>
      </c>
      <c r="AN8" t="str">
        <f t="shared" si="3"/>
        <v xml:space="preserve">36 Total Buses </v>
      </c>
    </row>
    <row r="9" spans="2:46" x14ac:dyDescent="0.3">
      <c r="G9" s="2" t="s">
        <v>20</v>
      </c>
      <c r="H9" s="4">
        <v>2505</v>
      </c>
      <c r="R9" s="2" t="s">
        <v>21</v>
      </c>
      <c r="S9" s="4">
        <v>887</v>
      </c>
      <c r="U9" t="str">
        <f t="shared" si="0"/>
        <v>Wed</v>
      </c>
      <c r="V9">
        <f t="shared" si="0"/>
        <v>887</v>
      </c>
      <c r="W9">
        <f t="shared" si="1"/>
        <v>941</v>
      </c>
      <c r="X9" t="str">
        <f t="shared" si="2"/>
        <v/>
      </c>
    </row>
    <row r="10" spans="2:46" x14ac:dyDescent="0.3">
      <c r="R10" s="2" t="s">
        <v>22</v>
      </c>
      <c r="S10" s="4">
        <v>889</v>
      </c>
      <c r="U10" t="str">
        <f t="shared" si="0"/>
        <v>Thu</v>
      </c>
      <c r="V10">
        <f t="shared" si="0"/>
        <v>889</v>
      </c>
      <c r="W10">
        <f t="shared" si="1"/>
        <v>941</v>
      </c>
      <c r="X10" t="str">
        <f t="shared" si="2"/>
        <v/>
      </c>
    </row>
    <row r="11" spans="2:46" x14ac:dyDescent="0.3">
      <c r="R11" s="2" t="s">
        <v>23</v>
      </c>
      <c r="S11" s="4">
        <v>762</v>
      </c>
      <c r="U11" t="str">
        <f t="shared" si="0"/>
        <v>Fri</v>
      </c>
      <c r="V11">
        <f t="shared" si="0"/>
        <v>762</v>
      </c>
      <c r="W11">
        <f t="shared" si="1"/>
        <v>941</v>
      </c>
      <c r="X11" t="str">
        <f t="shared" si="2"/>
        <v/>
      </c>
      <c r="AL11" t="str">
        <f>AL5</f>
        <v>Row Labels</v>
      </c>
      <c r="AM11" t="s">
        <v>24</v>
      </c>
      <c r="AN11" t="s">
        <v>25</v>
      </c>
    </row>
    <row r="12" spans="2:46" x14ac:dyDescent="0.3">
      <c r="G12" s="2" t="s">
        <v>26</v>
      </c>
      <c r="L12" s="1" t="s">
        <v>2</v>
      </c>
      <c r="M12" t="s">
        <v>0</v>
      </c>
      <c r="N12" t="s">
        <v>27</v>
      </c>
      <c r="R12" s="2" t="s">
        <v>28</v>
      </c>
      <c r="S12" s="4">
        <v>796</v>
      </c>
      <c r="U12" t="str">
        <f t="shared" si="0"/>
        <v>Sat</v>
      </c>
      <c r="V12">
        <f t="shared" si="0"/>
        <v>796</v>
      </c>
      <c r="W12">
        <f t="shared" si="1"/>
        <v>941</v>
      </c>
      <c r="X12" t="str">
        <f t="shared" si="2"/>
        <v/>
      </c>
      <c r="AL12" t="str">
        <f t="shared" ref="AL12:AL14" si="4">AL6</f>
        <v>Over-utilised</v>
      </c>
      <c r="AM12" s="9">
        <f>AM6/SUM($AM$6:$AM$8)</f>
        <v>0.32926829268292684</v>
      </c>
      <c r="AN12" s="9">
        <f>1-AM12</f>
        <v>0.6707317073170731</v>
      </c>
      <c r="AO12" s="9"/>
    </row>
    <row r="13" spans="2:46" x14ac:dyDescent="0.3">
      <c r="G13" s="1" t="s">
        <v>2</v>
      </c>
      <c r="H13" t="s">
        <v>0</v>
      </c>
      <c r="L13" s="2">
        <v>2023</v>
      </c>
      <c r="M13" s="4">
        <v>5654</v>
      </c>
      <c r="N13" s="9"/>
      <c r="AL13" t="str">
        <f t="shared" si="4"/>
        <v>Under-utilised</v>
      </c>
      <c r="AM13" s="9">
        <f t="shared" ref="AM13:AM14" si="5">AM7/SUM($AM$6:$AM$8)</f>
        <v>0.23170731707317074</v>
      </c>
      <c r="AN13" s="9">
        <f t="shared" ref="AN13:AN14" si="6">1-AM13</f>
        <v>0.76829268292682928</v>
      </c>
      <c r="AO13" s="9"/>
    </row>
    <row r="14" spans="2:46" x14ac:dyDescent="0.3">
      <c r="G14" s="7">
        <v>0.48680555555555555</v>
      </c>
      <c r="H14" s="4">
        <v>108</v>
      </c>
      <c r="L14" s="2">
        <v>2024</v>
      </c>
      <c r="M14" s="4">
        <v>933</v>
      </c>
      <c r="N14" s="9">
        <v>-0.83498408206579411</v>
      </c>
      <c r="U14" t="s">
        <v>29</v>
      </c>
      <c r="AL14" t="str">
        <f t="shared" si="4"/>
        <v>Well-utilised</v>
      </c>
      <c r="AM14" s="9">
        <f t="shared" si="5"/>
        <v>0.43902439024390244</v>
      </c>
      <c r="AN14" s="9">
        <f t="shared" si="6"/>
        <v>0.56097560975609762</v>
      </c>
      <c r="AO14" s="9"/>
    </row>
    <row r="15" spans="2:46" x14ac:dyDescent="0.3">
      <c r="U15" t="str">
        <f>"Focus on Highlighted Weekdays: they exceeded the "&amp;W6&amp;" passengers average and account for "&amp;TEXT(U19,"0.0%")&amp;" of the Total passengers."</f>
        <v>Focus on Highlighted Weekdays: they exceeded the 941 passengers average and account for 49.4% of the Total passengers.</v>
      </c>
    </row>
    <row r="16" spans="2:46" x14ac:dyDescent="0.3">
      <c r="G16" t="s">
        <v>30</v>
      </c>
    </row>
    <row r="17" spans="2:21" x14ac:dyDescent="0.3">
      <c r="B17" t="s">
        <v>31</v>
      </c>
      <c r="G17" s="1" t="s">
        <v>2</v>
      </c>
      <c r="H17" t="s">
        <v>0</v>
      </c>
      <c r="L17" t="s">
        <v>32</v>
      </c>
      <c r="M17" t="s">
        <v>33</v>
      </c>
    </row>
    <row r="18" spans="2:21" x14ac:dyDescent="0.3">
      <c r="B18" s="1" t="s">
        <v>2</v>
      </c>
      <c r="C18" t="s">
        <v>0</v>
      </c>
      <c r="G18" s="7">
        <v>0.52361111111111114</v>
      </c>
      <c r="H18" s="4">
        <v>15</v>
      </c>
      <c r="L18" s="9">
        <f>(M7-M6)/M6</f>
        <v>-0.83498408206579411</v>
      </c>
      <c r="M18" t="str">
        <f>IF(L18&lt;0,L22,L21)</f>
        <v>▼</v>
      </c>
      <c r="U18" s="11" t="s">
        <v>34</v>
      </c>
    </row>
    <row r="19" spans="2:21" x14ac:dyDescent="0.3">
      <c r="B19" s="2" t="s">
        <v>35</v>
      </c>
      <c r="C19" s="4">
        <v>1322</v>
      </c>
      <c r="U19" s="9">
        <f>SUM(X6:X12)/SUM(V6:V12)</f>
        <v>0.4938515257325034</v>
      </c>
    </row>
    <row r="20" spans="2:21" x14ac:dyDescent="0.3">
      <c r="M20" t="s">
        <v>36</v>
      </c>
    </row>
    <row r="21" spans="2:21" x14ac:dyDescent="0.3">
      <c r="B21" t="s">
        <v>37</v>
      </c>
      <c r="L21" t="s">
        <v>38</v>
      </c>
      <c r="M21" t="str">
        <f>IF(L18&lt;0,"YoY change suggests room for Improvement","We are doing well in this year")</f>
        <v>YoY change suggests room for Improvement</v>
      </c>
    </row>
    <row r="22" spans="2:21" x14ac:dyDescent="0.3">
      <c r="B22" s="1" t="s">
        <v>2</v>
      </c>
      <c r="C22" t="s">
        <v>0</v>
      </c>
      <c r="L22" t="s">
        <v>39</v>
      </c>
    </row>
    <row r="23" spans="2:21" x14ac:dyDescent="0.3">
      <c r="B23" s="2" t="s">
        <v>40</v>
      </c>
      <c r="C23" s="4">
        <v>185</v>
      </c>
    </row>
  </sheetData>
  <pageMargins left="0.7" right="0.7" top="0.75" bottom="0.75" header="0.3" footer="0.3"/>
  <pageSetup orientation="portrait"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69253-170E-4BBC-BAD9-9B960F30D240}">
  <dimension ref="A1"/>
  <sheetViews>
    <sheetView showGridLines="0" showRowColHeaders="0" tabSelected="1" workbookViewId="0">
      <selection activeCell="D36" sqref="D36"/>
    </sheetView>
  </sheetViews>
  <sheetFormatPr defaultColWidth="9.109375" defaultRowHeight="14.4" x14ac:dyDescent="0.3"/>
  <cols>
    <col min="1" max="16384" width="9.109375" style="5"/>
  </cols>
  <sheetData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Props1.xml><?xml version="1.0" encoding="utf-8"?>
<ds:datastoreItem xmlns:ds="http://schemas.openxmlformats.org/officeDocument/2006/customXml" ds:itemID="{7B034F5E-5608-4225-B17C-EE3DC2810FC6}">
  <ds:schemaRefs>
    <ds:schemaRef ds:uri="http://gemini/pivotcustomization/TableXML_Dim_demographics_3346199f-065b-43b0-a34c-42236e4768ed"/>
  </ds:schemaRefs>
</ds:datastoreItem>
</file>

<file path=customXml/itemProps2.xml><?xml version="1.0" encoding="utf-8"?>
<ds:datastoreItem xmlns:ds="http://schemas.openxmlformats.org/officeDocument/2006/customXml" ds:itemID="{48041C21-C88B-4A3A-98C6-C14FEB77A7BC}">
  <ds:schemaRefs>
    <ds:schemaRef ds:uri="http://gemini/pivotcustomization/808beea4-2768-403b-9d1b-bf4905d8dc37"/>
  </ds:schemaRefs>
</ds:datastoreItem>
</file>

<file path=customXml/itemProps3.xml><?xml version="1.0" encoding="utf-8"?>
<ds:datastoreItem xmlns:ds="http://schemas.openxmlformats.org/officeDocument/2006/customXml" ds:itemID="{F1B05A32-92FB-4EB5-B0C5-9449D24AF564}">
  <ds:schemaRefs>
    <ds:schemaRef ds:uri="http://gemini/pivotcustomization/TableWidget"/>
  </ds:schemaRefs>
</ds:datastoreItem>
</file>

<file path=customXml/itemProps4.xml><?xml version="1.0" encoding="utf-8"?>
<ds:datastoreItem xmlns:ds="http://schemas.openxmlformats.org/officeDocument/2006/customXml" ds:itemID="{3855A0A3-ABF4-413A-8CB8-25E3B5560B0B}">
  <ds:schemaRefs>
    <ds:schemaRef ds:uri="http://gemini/pivotcustomization/TableXML_Dim_buses_9630bc04-05bb-45f2-bc4b-0aa6b9b3bde2"/>
  </ds:schemaRefs>
</ds:datastoreItem>
</file>

<file path=customXml/itemProps5.xml><?xml version="1.0" encoding="utf-8"?>
<ds:datastoreItem xmlns:ds="http://schemas.openxmlformats.org/officeDocument/2006/customXml" ds:itemID="{106FB9B5-B79D-4DB7-B33C-9A25CC2BE5A5}">
  <ds:schemaRefs>
    <ds:schemaRef ds:uri="http://gemini/pivotcustomization/ShowImplicitMeasures"/>
  </ds:schemaRefs>
</ds:datastoreItem>
</file>

<file path=customXml/itemProps6.xml><?xml version="1.0" encoding="utf-8"?>
<ds:datastoreItem xmlns:ds="http://schemas.openxmlformats.org/officeDocument/2006/customXml" ds:itemID="{218B5B34-2A48-4A6C-A48E-021EE57401C9}">
  <ds:schemaRefs>
    <ds:schemaRef ds:uri="http://gemini/pivotcustomization/LinkedTableUpdateMode"/>
  </ds:schemaRefs>
</ds:datastoreItem>
</file>

<file path=customXml/itemProps7.xml><?xml version="1.0" encoding="utf-8"?>
<ds:datastoreItem xmlns:ds="http://schemas.openxmlformats.org/officeDocument/2006/customXml" ds:itemID="{7A8E8CEB-2475-4EB3-9083-F2B0D4327E02}">
  <ds:schemaRefs>
    <ds:schemaRef ds:uri="http://gemini/pivotcustomization/TableXML_Dim_Datetable_01e107b0-ca0b-4b76-b4b1-2b866df4ac54"/>
  </ds:schemaRefs>
</ds:datastoreItem>
</file>

<file path=customXml/itemProps8.xml><?xml version="1.0" encoding="utf-8"?>
<ds:datastoreItem xmlns:ds="http://schemas.openxmlformats.org/officeDocument/2006/customXml" ds:itemID="{9758F2C0-0933-4028-AEF8-A469349D9D1B}">
  <ds:schemaRefs>
    <ds:schemaRef ds:uri="http://gemini/pivotcustomization/35574c0c-821c-446b-b5a3-b84673f669c9"/>
  </ds:schemaRefs>
</ds:datastoreItem>
</file>

<file path=customXml/itemProps9.xml><?xml version="1.0" encoding="utf-8"?>
<ds:datastoreItem xmlns:ds="http://schemas.openxmlformats.org/officeDocument/2006/customXml" ds:itemID="{0110F81B-CE10-4C9C-AA15-6ADAF59437A4}">
  <ds:schemaRefs>
    <ds:schemaRef ds:uri="http://gemini/pivotcustomization/ClientWindowXML"/>
  </ds:schemaRefs>
</ds:datastoreItem>
</file>

<file path=customXml/itemProps10.xml><?xml version="1.0" encoding="utf-8"?>
<ds:datastoreItem xmlns:ds="http://schemas.openxmlformats.org/officeDocument/2006/customXml" ds:itemID="{D37322BC-208C-4261-95C4-D3A330F2ED07}">
  <ds:schemaRefs>
    <ds:schemaRef ds:uri="http://gemini/pivotcustomization/ErrorCache"/>
  </ds:schemaRefs>
</ds:datastoreItem>
</file>

<file path=customXml/itemProps11.xml><?xml version="1.0" encoding="utf-8"?>
<ds:datastoreItem xmlns:ds="http://schemas.openxmlformats.org/officeDocument/2006/customXml" ds:itemID="{C9D81D4C-2003-4A10-9E17-F8C327F4D9FE}">
  <ds:schemaRefs>
    <ds:schemaRef ds:uri="http://gemini/pivotcustomization/TableOrder"/>
  </ds:schemaRefs>
</ds:datastoreItem>
</file>

<file path=customXml/itemProps12.xml><?xml version="1.0" encoding="utf-8"?>
<ds:datastoreItem xmlns:ds="http://schemas.openxmlformats.org/officeDocument/2006/customXml" ds:itemID="{11CD9E87-BF49-4848-B521-54EFC0C6A31A}">
  <ds:schemaRefs>
    <ds:schemaRef ds:uri="http://gemini/pivotcustomization/TableXML_Calculations_75248249-1d77-4d88-8ad6-18845d945959"/>
  </ds:schemaRefs>
</ds:datastoreItem>
</file>

<file path=customXml/itemProps13.xml><?xml version="1.0" encoding="utf-8"?>
<ds:datastoreItem xmlns:ds="http://schemas.openxmlformats.org/officeDocument/2006/customXml" ds:itemID="{B930B5AE-3344-4431-B39D-CF1A31E84A07}">
  <ds:schemaRefs>
    <ds:schemaRef ds:uri="http://gemini/pivotcustomization/c1d1b7db-2436-409c-a033-b3470b1a655d"/>
  </ds:schemaRefs>
</ds:datastoreItem>
</file>

<file path=customXml/itemProps14.xml><?xml version="1.0" encoding="utf-8"?>
<ds:datastoreItem xmlns:ds="http://schemas.openxmlformats.org/officeDocument/2006/customXml" ds:itemID="{EFCFBBA4-5DF7-4262-9C10-08EDB1D815E4}">
  <ds:schemaRefs>
    <ds:schemaRef ds:uri="http://gemini/pivotcustomization/184ad036-edae-4840-89d2-5574d9eab6e6"/>
  </ds:schemaRefs>
</ds:datastoreItem>
</file>

<file path=customXml/itemProps15.xml><?xml version="1.0" encoding="utf-8"?>
<ds:datastoreItem xmlns:ds="http://schemas.openxmlformats.org/officeDocument/2006/customXml" ds:itemID="{9334389E-7ADC-4CA7-9C96-8560A7AA1578}">
  <ds:schemaRefs>
    <ds:schemaRef ds:uri="http://gemini/pivotcustomization/TableXML_Dim_routes_19e39f31-34ee-4202-8f94-28cc269d3dea"/>
  </ds:schemaRefs>
</ds:datastoreItem>
</file>

<file path=customXml/itemProps16.xml><?xml version="1.0" encoding="utf-8"?>
<ds:datastoreItem xmlns:ds="http://schemas.openxmlformats.org/officeDocument/2006/customXml" ds:itemID="{248451B8-A10E-45AD-B581-7AD0E48F245A}">
  <ds:schemaRefs>
    <ds:schemaRef ds:uri="http://gemini/pivotcustomization/MeasureGridState"/>
  </ds:schemaRefs>
</ds:datastoreItem>
</file>

<file path=customXml/itemProps17.xml><?xml version="1.0" encoding="utf-8"?>
<ds:datastoreItem xmlns:ds="http://schemas.openxmlformats.org/officeDocument/2006/customXml" ds:itemID="{3DEFE810-D0ED-4FD6-9100-377BAC5A8712}">
  <ds:schemaRefs>
    <ds:schemaRef ds:uri="http://gemini/pivotcustomization/064c64c4-0219-461a-a99f-8d59a9b68a7f"/>
  </ds:schemaRefs>
</ds:datastoreItem>
</file>

<file path=customXml/itemProps18.xml><?xml version="1.0" encoding="utf-8"?>
<ds:datastoreItem xmlns:ds="http://schemas.openxmlformats.org/officeDocument/2006/customXml" ds:itemID="{86FE685A-96C0-4A54-BE42-1FA4AC922857}">
  <ds:schemaRefs>
    <ds:schemaRef ds:uri="http://gemini/pivotcustomization/15d92333-4921-4750-94c8-7b020386b750"/>
  </ds:schemaRefs>
</ds:datastoreItem>
</file>

<file path=customXml/itemProps19.xml><?xml version="1.0" encoding="utf-8"?>
<ds:datastoreItem xmlns:ds="http://schemas.openxmlformats.org/officeDocument/2006/customXml" ds:itemID="{788BE89C-2512-46B9-8625-6EDAB44BF8C1}">
  <ds:schemaRefs>
    <ds:schemaRef ds:uri="http://gemini/pivotcustomization/TableXML_Dim_routes_0ae0cd52-d3e4-44db-8ba5-955f13662228"/>
  </ds:schemaRefs>
</ds:datastoreItem>
</file>

<file path=customXml/itemProps20.xml><?xml version="1.0" encoding="utf-8"?>
<ds:datastoreItem xmlns:ds="http://schemas.openxmlformats.org/officeDocument/2006/customXml" ds:itemID="{F4BC2145-4991-44BD-B22D-38DD21F69C32}">
  <ds:schemaRefs>
    <ds:schemaRef ds:uri="http://gemini/pivotcustomization/bcb7dfcb-69da-4a6a-adc3-3da08c2da2a5"/>
  </ds:schemaRefs>
</ds:datastoreItem>
</file>

<file path=customXml/itemProps21.xml><?xml version="1.0" encoding="utf-8"?>
<ds:datastoreItem xmlns:ds="http://schemas.openxmlformats.org/officeDocument/2006/customXml" ds:itemID="{95EB5524-E00B-45B0-B6DD-D8A6CA64E41E}">
  <ds:schemaRefs>
    <ds:schemaRef ds:uri="http://gemini/pivotcustomization/38305880-bfcc-4a43-bd93-9dd5d328dab1"/>
  </ds:schemaRefs>
</ds:datastoreItem>
</file>

<file path=customXml/itemProps22.xml><?xml version="1.0" encoding="utf-8"?>
<ds:datastoreItem xmlns:ds="http://schemas.openxmlformats.org/officeDocument/2006/customXml" ds:itemID="{6D60BD95-7714-4371-BBB7-5692F871F305}">
  <ds:schemaRefs>
    <ds:schemaRef ds:uri="http://gemini/pivotcustomization/13bba81d-4778-493c-8706-edb7fbd18ffa"/>
  </ds:schemaRefs>
</ds:datastoreItem>
</file>

<file path=customXml/itemProps23.xml><?xml version="1.0" encoding="utf-8"?>
<ds:datastoreItem xmlns:ds="http://schemas.openxmlformats.org/officeDocument/2006/customXml" ds:itemID="{0BCE958B-E949-4CE7-858E-9400FE17DE8B}">
  <ds:schemaRefs>
    <ds:schemaRef ds:uri="http://gemini/pivotcustomization/FormulaBarState"/>
  </ds:schemaRefs>
</ds:datastoreItem>
</file>

<file path=customXml/itemProps24.xml><?xml version="1.0" encoding="utf-8"?>
<ds:datastoreItem xmlns:ds="http://schemas.openxmlformats.org/officeDocument/2006/customXml" ds:itemID="{E6CB7B34-CF46-4274-91FD-D1C7CCA5A031}">
  <ds:schemaRefs>
    <ds:schemaRef ds:uri="http://gemini/pivotcustomization/Diagrams"/>
  </ds:schemaRefs>
</ds:datastoreItem>
</file>

<file path=customXml/itemProps25.xml><?xml version="1.0" encoding="utf-8"?>
<ds:datastoreItem xmlns:ds="http://schemas.openxmlformats.org/officeDocument/2006/customXml" ds:itemID="{36112CE0-0092-4E97-A1E4-C51ECE455765}">
  <ds:schemaRefs>
    <ds:schemaRef ds:uri="http://gemini/pivotcustomization/8e4bad51-94ac-475a-96c0-1ae298a94c29"/>
  </ds:schemaRefs>
</ds:datastoreItem>
</file>

<file path=customXml/itemProps26.xml><?xml version="1.0" encoding="utf-8"?>
<ds:datastoreItem xmlns:ds="http://schemas.openxmlformats.org/officeDocument/2006/customXml" ds:itemID="{AD00C9D7-E96E-4079-9128-619A09211BEC}">
  <ds:schemaRefs>
    <ds:schemaRef ds:uri="http://gemini/pivotcustomization/SandboxNonEmpty"/>
  </ds:schemaRefs>
</ds:datastoreItem>
</file>

<file path=customXml/itemProps27.xml><?xml version="1.0" encoding="utf-8"?>
<ds:datastoreItem xmlns:ds="http://schemas.openxmlformats.org/officeDocument/2006/customXml" ds:itemID="{FF375B08-0952-4776-8600-2C1D8CC5CA34}">
  <ds:schemaRefs>
    <ds:schemaRef ds:uri="http://gemini/pivotcustomization/3a99833e-8735-46da-82fa-1bc2a95affae"/>
  </ds:schemaRefs>
</ds:datastoreItem>
</file>

<file path=customXml/itemProps28.xml><?xml version="1.0" encoding="utf-8"?>
<ds:datastoreItem xmlns:ds="http://schemas.openxmlformats.org/officeDocument/2006/customXml" ds:itemID="{87E66A9A-0EAE-4DA1-A436-AC339AE10E4E}">
  <ds:schemaRefs>
    <ds:schemaRef ds:uri="http://gemini/pivotcustomization/ManualCalcMode"/>
  </ds:schemaRefs>
</ds:datastoreItem>
</file>

<file path=customXml/itemProps29.xml><?xml version="1.0" encoding="utf-8"?>
<ds:datastoreItem xmlns:ds="http://schemas.openxmlformats.org/officeDocument/2006/customXml" ds:itemID="{E2091A4C-636C-401C-A3E6-F9B0CA37A8A5}">
  <ds:schemaRefs>
    <ds:schemaRef ds:uri="http://gemini/pivotcustomization/RelationshipAutoDetectionEnabled"/>
  </ds:schemaRefs>
</ds:datastoreItem>
</file>

<file path=customXml/itemProps30.xml><?xml version="1.0" encoding="utf-8"?>
<ds:datastoreItem xmlns:ds="http://schemas.openxmlformats.org/officeDocument/2006/customXml" ds:itemID="{DA152FE7-A803-4301-ABD4-63A97E45E65F}">
  <ds:schemaRefs>
    <ds:schemaRef ds:uri="http://gemini/pivotcustomization/TableXML_Dim_buses_b3b7a4e7-b921-4290-9cae-3378fcafdcec"/>
  </ds:schemaRefs>
</ds:datastoreItem>
</file>

<file path=customXml/itemProps31.xml><?xml version="1.0" encoding="utf-8"?>
<ds:datastoreItem xmlns:ds="http://schemas.openxmlformats.org/officeDocument/2006/customXml" ds:itemID="{E23544FF-D55A-4B42-A087-EFEA9CD9D753}">
  <ds:schemaRefs>
    <ds:schemaRef ds:uri="http://gemini/pivotcustomization/7df062e1-e208-4f3a-9bc4-5ea09126f9ef"/>
  </ds:schemaRefs>
</ds:datastoreItem>
</file>

<file path=customXml/itemProps32.xml><?xml version="1.0" encoding="utf-8"?>
<ds:datastoreItem xmlns:ds="http://schemas.openxmlformats.org/officeDocument/2006/customXml" ds:itemID="{7729F27D-D6F0-4080-BE2C-56C0C39437FE}">
  <ds:schemaRefs>
    <ds:schemaRef ds:uri="http://gemini/pivotcustomization/b314be4e-d5e3-4069-8600-0ee6d74a5a27"/>
  </ds:schemaRefs>
</ds:datastoreItem>
</file>

<file path=customXml/itemProps33.xml><?xml version="1.0" encoding="utf-8"?>
<ds:datastoreItem xmlns:ds="http://schemas.openxmlformats.org/officeDocument/2006/customXml" ds:itemID="{F8ADC0C1-0EB1-4B58-8132-BC86DE3BBB3F}">
  <ds:schemaRefs>
    <ds:schemaRef ds:uri="http://gemini/pivotcustomization/b9943d8e-6ff3-4c5e-ab41-e7c029f5ca69"/>
  </ds:schemaRefs>
</ds:datastoreItem>
</file>

<file path=customXml/itemProps34.xml><?xml version="1.0" encoding="utf-8"?>
<ds:datastoreItem xmlns:ds="http://schemas.openxmlformats.org/officeDocument/2006/customXml" ds:itemID="{2DE59E25-B366-476C-B068-ED71FDE9194E}">
  <ds:schemaRefs>
    <ds:schemaRef ds:uri="http://gemini/pivotcustomization/TableXML_Facttable_ridership_f7b305c3-c495-4ce7-94ca-81e4de87f5d7"/>
  </ds:schemaRefs>
</ds:datastoreItem>
</file>

<file path=customXml/itemProps35.xml><?xml version="1.0" encoding="utf-8"?>
<ds:datastoreItem xmlns:ds="http://schemas.openxmlformats.org/officeDocument/2006/customXml" ds:itemID="{982189C8-4D9E-429A-90B8-0A1836924E20}">
  <ds:schemaRefs>
    <ds:schemaRef ds:uri="http://gemini/pivotcustomization/TableXML_Dim_demographics_f1cf5592-a3e4-4b60-9707-91c503e190ee"/>
  </ds:schemaRefs>
</ds:datastoreItem>
</file>

<file path=customXml/itemProps36.xml><?xml version="1.0" encoding="utf-8"?>
<ds:datastoreItem xmlns:ds="http://schemas.openxmlformats.org/officeDocument/2006/customXml" ds:itemID="{63A940B7-72CD-49A4-AA42-2B82D88A5E9A}">
  <ds:schemaRefs>
    <ds:schemaRef ds:uri="http://gemini/pivotcustomization/f003ad2a-c0b1-4381-adea-2984162c1c66"/>
  </ds:schemaRefs>
</ds:datastoreItem>
</file>

<file path=customXml/itemProps37.xml><?xml version="1.0" encoding="utf-8"?>
<ds:datastoreItem xmlns:ds="http://schemas.openxmlformats.org/officeDocument/2006/customXml" ds:itemID="{13BBFE1C-18A3-4C37-B440-F8E118694255}">
  <ds:schemaRefs>
    <ds:schemaRef ds:uri="http://gemini/pivotcustomization/e6ceb7c3-e3f1-4e62-bd5f-b7a0fc4d93ce"/>
  </ds:schemaRefs>
</ds:datastoreItem>
</file>

<file path=customXml/itemProps38.xml><?xml version="1.0" encoding="utf-8"?>
<ds:datastoreItem xmlns:ds="http://schemas.openxmlformats.org/officeDocument/2006/customXml" ds:itemID="{9C1B2416-D163-445B-B474-92571B54F2DA}">
  <ds:schemaRefs>
    <ds:schemaRef ds:uri="http://gemini/pivotcustomization/IsSandboxEmbedded"/>
  </ds:schemaRefs>
</ds:datastoreItem>
</file>

<file path=customXml/itemProps39.xml><?xml version="1.0" encoding="utf-8"?>
<ds:datastoreItem xmlns:ds="http://schemas.openxmlformats.org/officeDocument/2006/customXml" ds:itemID="{6C7AB927-D7E9-4279-A7F2-D1266E3A19DE}">
  <ds:schemaRefs>
    <ds:schemaRef ds:uri="http://gemini/pivotcustomization/20e62783-8839-43dc-baa8-2733313a5393"/>
  </ds:schemaRefs>
</ds:datastoreItem>
</file>

<file path=customXml/itemProps40.xml><?xml version="1.0" encoding="utf-8"?>
<ds:datastoreItem xmlns:ds="http://schemas.openxmlformats.org/officeDocument/2006/customXml" ds:itemID="{5CE5E011-4020-4547-80DB-BFF14F66D3D3}">
  <ds:schemaRefs>
    <ds:schemaRef ds:uri="http://gemini/pivotcustomization/ShowHidden"/>
  </ds:schemaRefs>
</ds:datastoreItem>
</file>

<file path=customXml/itemProps41.xml><?xml version="1.0" encoding="utf-8"?>
<ds:datastoreItem xmlns:ds="http://schemas.openxmlformats.org/officeDocument/2006/customXml" ds:itemID="{B239ACAC-FED1-45A5-943C-253D6017E2FD}">
  <ds:schemaRefs>
    <ds:schemaRef ds:uri="http://gemini/pivotcustomization/TableXML_Dim_DateTable_37c523eb-dee2-4244-a4f8-1e00e660d8d9"/>
  </ds:schemaRefs>
</ds:datastoreItem>
</file>

<file path=customXml/itemProps42.xml><?xml version="1.0" encoding="utf-8"?>
<ds:datastoreItem xmlns:ds="http://schemas.openxmlformats.org/officeDocument/2006/customXml" ds:itemID="{AF844035-396E-494C-AC5E-73D5126750CB}">
  <ds:schemaRefs>
    <ds:schemaRef ds:uri="http://gemini/pivotcustomization/2a3fd36d-3a7a-452f-94bd-f0b1869bd46c"/>
  </ds:schemaRefs>
</ds:datastoreItem>
</file>

<file path=customXml/itemProps43.xml><?xml version="1.0" encoding="utf-8"?>
<ds:datastoreItem xmlns:ds="http://schemas.openxmlformats.org/officeDocument/2006/customXml" ds:itemID="{98067CD6-1B69-44A3-A91E-32837873EC16}">
  <ds:schemaRefs>
    <ds:schemaRef ds:uri="http://gemini/pivotcustomization/PowerPivotVersion"/>
  </ds:schemaRefs>
</ds:datastoreItem>
</file>

<file path=customXml/itemProps44.xml><?xml version="1.0" encoding="utf-8"?>
<ds:datastoreItem xmlns:ds="http://schemas.openxmlformats.org/officeDocument/2006/customXml" ds:itemID="{7A0FD7F0-7F8E-4257-95F3-E687EDB798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Shanky</dc:creator>
  <cp:keywords/>
  <dc:description/>
  <cp:lastModifiedBy>charan 9874</cp:lastModifiedBy>
  <cp:revision/>
  <dcterms:created xsi:type="dcterms:W3CDTF">2024-04-04T05:08:26Z</dcterms:created>
  <dcterms:modified xsi:type="dcterms:W3CDTF">2024-05-09T09:25:46Z</dcterms:modified>
  <cp:category/>
  <cp:contentStatus/>
</cp:coreProperties>
</file>